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 Data" sheetId="1" state="visible" r:id="rId3"/>
    <sheet name="Channel Summary" sheetId="2" state="visible" r:id="rId4"/>
    <sheet name="AB Te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<sst xmlns="http://schemas.openxmlformats.org/spreadsheetml/2006/main" count="267" uniqueCount="137">
  <si>
    <t xml:space="preserve">Campaign-Level Performance — FY2025</t>
  </si>
  <si>
    <t xml:space="preserve">Blue = source data (from ad platform exports). Black = formulas.</t>
  </si>
  <si>
    <t xml:space="preserve">Campaign ID</t>
  </si>
  <si>
    <t xml:space="preserve">Campaign Name</t>
  </si>
  <si>
    <t xml:space="preserve">Channel</t>
  </si>
  <si>
    <t xml:space="preserve">Geography</t>
  </si>
  <si>
    <t xml:space="preserve">Segment</t>
  </si>
  <si>
    <t xml:space="preserve">Impressions</t>
  </si>
  <si>
    <t xml:space="preserve">Clicks</t>
  </si>
  <si>
    <t xml:space="preserve">Leads</t>
  </si>
  <si>
    <t xml:space="preserve">Purchases</t>
  </si>
  <si>
    <t xml:space="preserve">Revenue ($)</t>
  </si>
  <si>
    <t xml:space="preserve">Cost ($)</t>
  </si>
  <si>
    <t xml:space="preserve">CTR %</t>
  </si>
  <si>
    <t xml:space="preserve">CPC ($)</t>
  </si>
  <si>
    <t xml:space="preserve">CPL ($)</t>
  </si>
  <si>
    <t xml:space="preserve">Conv. Rate %</t>
  </si>
  <si>
    <t xml:space="preserve">CAC ($)</t>
  </si>
  <si>
    <t xml:space="preserve">ROAS (x)</t>
  </si>
  <si>
    <t xml:space="preserve">ROI %</t>
  </si>
  <si>
    <t xml:space="preserve">C035</t>
  </si>
  <si>
    <t xml:space="preserve">Email_Returning_May2025</t>
  </si>
  <si>
    <t xml:space="preserve">Email</t>
  </si>
  <si>
    <t xml:space="preserve">North America</t>
  </si>
  <si>
    <t xml:space="preserve">Price-Sensitive</t>
  </si>
  <si>
    <t xml:space="preserve">C036</t>
  </si>
  <si>
    <t xml:space="preserve">Email_New_Jan2025</t>
  </si>
  <si>
    <t xml:space="preserve">High-Value</t>
  </si>
  <si>
    <t xml:space="preserve">C023</t>
  </si>
  <si>
    <t xml:space="preserve">Email_Price-Sensitive_Jun2025</t>
  </si>
  <si>
    <t xml:space="preserve">Returning Customers</t>
  </si>
  <si>
    <t xml:space="preserve">C029</t>
  </si>
  <si>
    <t xml:space="preserve">Email_New_May2025</t>
  </si>
  <si>
    <t xml:space="preserve">Europe</t>
  </si>
  <si>
    <t xml:space="preserve">C011</t>
  </si>
  <si>
    <t xml:space="preserve">Email_Price-Sensitive_Jan2025</t>
  </si>
  <si>
    <t xml:space="preserve">C013</t>
  </si>
  <si>
    <t xml:space="preserve">Email_Price-Sensitive_May2025</t>
  </si>
  <si>
    <t xml:space="preserve">C032</t>
  </si>
  <si>
    <t xml:space="preserve">Email_New_Aug2025</t>
  </si>
  <si>
    <t xml:space="preserve">New Customers</t>
  </si>
  <si>
    <t xml:space="preserve">C022</t>
  </si>
  <si>
    <t xml:space="preserve">C008</t>
  </si>
  <si>
    <t xml:space="preserve">Google_Returning_Sep2025</t>
  </si>
  <si>
    <t xml:space="preserve">Google</t>
  </si>
  <si>
    <t xml:space="preserve">APAC</t>
  </si>
  <si>
    <t xml:space="preserve">C025</t>
  </si>
  <si>
    <t xml:space="preserve">Google_High-Value_Mar2025</t>
  </si>
  <si>
    <t xml:space="preserve">C030</t>
  </si>
  <si>
    <t xml:space="preserve">Google_Price-Sensitive_Jan2025</t>
  </si>
  <si>
    <t xml:space="preserve">C039</t>
  </si>
  <si>
    <t xml:space="preserve">C027</t>
  </si>
  <si>
    <t xml:space="preserve">Affiliate_High-Value_Jul2025</t>
  </si>
  <si>
    <t xml:space="preserve">Affiliate</t>
  </si>
  <si>
    <t xml:space="preserve">C006</t>
  </si>
  <si>
    <t xml:space="preserve">Google_Returning_Oct2025</t>
  </si>
  <si>
    <t xml:space="preserve">C005</t>
  </si>
  <si>
    <t xml:space="preserve">Google_High-Value_May2025</t>
  </si>
  <si>
    <t xml:space="preserve">C028</t>
  </si>
  <si>
    <t xml:space="preserve">Google_Price-Sensitive_Feb2025</t>
  </si>
  <si>
    <t xml:space="preserve">C037</t>
  </si>
  <si>
    <t xml:space="preserve">Affiliate_Returning_Aug2025</t>
  </si>
  <si>
    <t xml:space="preserve">C021</t>
  </si>
  <si>
    <t xml:space="preserve">Facebook_Price-Sensitive_Apr2025</t>
  </si>
  <si>
    <t xml:space="preserve">Facebook</t>
  </si>
  <si>
    <t xml:space="preserve">C026</t>
  </si>
  <si>
    <t xml:space="preserve">Facebook_High-Value_Oct2025</t>
  </si>
  <si>
    <t xml:space="preserve">C016</t>
  </si>
  <si>
    <t xml:space="preserve">LATAM</t>
  </si>
  <si>
    <t xml:space="preserve">C040</t>
  </si>
  <si>
    <t xml:space="preserve">Facebook_High-Value_May2025</t>
  </si>
  <si>
    <t xml:space="preserve">C020</t>
  </si>
  <si>
    <t xml:space="preserve">Facebook_Returning_Jan2025</t>
  </si>
  <si>
    <t xml:space="preserve">C018</t>
  </si>
  <si>
    <t xml:space="preserve">Facebook_Returning_Sep2025</t>
  </si>
  <si>
    <t xml:space="preserve">C031</t>
  </si>
  <si>
    <t xml:space="preserve">Facebook_High-Value_Apr2025</t>
  </si>
  <si>
    <t xml:space="preserve">C010</t>
  </si>
  <si>
    <t xml:space="preserve">Facebook_High-Value_Jun2025</t>
  </si>
  <si>
    <t xml:space="preserve">C014</t>
  </si>
  <si>
    <t xml:space="preserve">Facebook_High-Value_Feb2025</t>
  </si>
  <si>
    <t xml:space="preserve">C033</t>
  </si>
  <si>
    <t xml:space="preserve">C017</t>
  </si>
  <si>
    <t xml:space="preserve">Instagram_Price-Sensitive_Mar2025</t>
  </si>
  <si>
    <t xml:space="preserve">Instagram</t>
  </si>
  <si>
    <t xml:space="preserve">C009</t>
  </si>
  <si>
    <t xml:space="preserve">Instagram_Returning_Aug2025</t>
  </si>
  <si>
    <t xml:space="preserve">C007</t>
  </si>
  <si>
    <t xml:space="preserve">Instagram_New_Oct2025</t>
  </si>
  <si>
    <t xml:space="preserve">C001</t>
  </si>
  <si>
    <t xml:space="preserve">Instagram_Returning_Jul2025</t>
  </si>
  <si>
    <t xml:space="preserve">C034</t>
  </si>
  <si>
    <t xml:space="preserve">Instagram_New_Aug2025</t>
  </si>
  <si>
    <t xml:space="preserve">C019</t>
  </si>
  <si>
    <t xml:space="preserve">C004</t>
  </si>
  <si>
    <t xml:space="preserve">Instagram_Returning_Sep2025</t>
  </si>
  <si>
    <t xml:space="preserve">C015</t>
  </si>
  <si>
    <t xml:space="preserve">Instagram_New_May2025</t>
  </si>
  <si>
    <t xml:space="preserve">C002</t>
  </si>
  <si>
    <t xml:space="preserve">C038</t>
  </si>
  <si>
    <t xml:space="preserve">Instagram_New_Jan2025</t>
  </si>
  <si>
    <t xml:space="preserve">C024</t>
  </si>
  <si>
    <t xml:space="preserve">TikTok_Price-Sensitive_May2025</t>
  </si>
  <si>
    <t xml:space="preserve">TikTok</t>
  </si>
  <si>
    <t xml:space="preserve">C003</t>
  </si>
  <si>
    <t xml:space="preserve">TikTok_Returning_Jun2025</t>
  </si>
  <si>
    <t xml:space="preserve">C012</t>
  </si>
  <si>
    <t xml:space="preserve">TikTok_New_Mar2025</t>
  </si>
  <si>
    <t xml:space="preserve">Channel-Level ROI Summary — FY2025</t>
  </si>
  <si>
    <t xml:space="preserve">All figures pull live via SUMIFS from 'Campaign Data'. Edit that sheet and this updates.</t>
  </si>
  <si>
    <t xml:space="preserve">ROAS Rank</t>
  </si>
  <si>
    <t xml:space="preserve">TOTAL / BLENDED</t>
  </si>
  <si>
    <t xml:space="preserve">Landing Page A/B Test — Statistical Significance</t>
  </si>
  <si>
    <t xml:space="preserve">Inputs (blue) are aggregated visitor/conversion counts. All statistics below are live formulas.</t>
  </si>
  <si>
    <t xml:space="preserve">Group</t>
  </si>
  <si>
    <t xml:space="preserve">Visitors</t>
  </si>
  <si>
    <t xml:space="preserve">Conversions</t>
  </si>
  <si>
    <t xml:space="preserve">Conversion Rate</t>
  </si>
  <si>
    <t xml:space="preserve">Control</t>
  </si>
  <si>
    <t xml:space="preserve">Variant</t>
  </si>
  <si>
    <t xml:space="preserve">Pooled proportion (p̂)</t>
  </si>
  <si>
    <t xml:space="preserve">Pooled standard error</t>
  </si>
  <si>
    <t xml:space="preserve">Absolute uplift (Variant − Control)</t>
  </si>
  <si>
    <t xml:space="preserve">Relative uplift</t>
  </si>
  <si>
    <t xml:space="preserve">Z-statistic</t>
  </si>
  <si>
    <t xml:space="preserve">P-value (two-sided)</t>
  </si>
  <si>
    <t xml:space="preserve">Significant at α=0.05?</t>
  </si>
  <si>
    <t xml:space="preserve">Unpooled SE (for CI)</t>
  </si>
  <si>
    <t xml:space="preserve">95% CI lower bound</t>
  </si>
  <si>
    <t xml:space="preserve">95% CI upper bound</t>
  </si>
  <si>
    <t xml:space="preserve">Business Impact Projection</t>
  </si>
  <si>
    <t xml:space="preserve">Blended AOV ($) — from Campaign Data</t>
  </si>
  <si>
    <t xml:space="preserve">Assumed monthly landing-page traffic</t>
  </si>
  <si>
    <t xml:space="preserve">Projected incremental conversions/month</t>
  </si>
  <si>
    <t xml:space="preserve">Projected incremental revenue/month ($)</t>
  </si>
  <si>
    <t xml:space="preserve">Projected incremental revenue/year ($)</t>
  </si>
  <si>
    <t xml:space="preserve">Note: traffic assumption (50,000/month) is illustrative — replace with actual landing-page traffic for a precise projection.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</si>
</sst>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"/>
    <numFmt numFmtId="166" formatCode="0.00%"/>
    <numFmt numFmtId="167" formatCode="0.00\x"/>
    <numFmt numFmtId="168" formatCode="0.0%"/>
    <numFmt numFmtId="169" formatCode="General"/>
    <numFmt numFmtId="170" formatCode="0"/>
    <numFmt numFmtId="171" formatCode="0.0000"/>
    <numFmt numFmtId="172" formatCode="0.000000"/>
    <numFmt numFmtId="173" formatCode="0.000"/>
    <numFmt numFmtId="174" formatCode="#,##0"/>
    <numFmt numFmtId="175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9"/>
      <color rgb="FF5B65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4213D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8" min="17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5" t="n">
        <v>466187</v>
      </c>
      <c r="G5" s="5" t="n">
        <v>20370</v>
      </c>
      <c r="H5" s="5" t="n">
        <v>3987</v>
      </c>
      <c r="I5" s="5" t="n">
        <v>1097</v>
      </c>
      <c r="J5" s="6" t="n">
        <v>69222.98</v>
      </c>
      <c r="K5" s="6" t="n">
        <v>3034.44</v>
      </c>
      <c r="L5" s="7" t="n">
        <f aca="false">IF(F5=0,0,G5/F5)</f>
        <v>0.0436949121275368</v>
      </c>
      <c r="M5" s="8" t="n">
        <f aca="false">IF(G5=0,0,K5/G5)</f>
        <v>0.148966126656848</v>
      </c>
      <c r="N5" s="8" t="n">
        <f aca="false">IF(H5=0,0,K5/H5)</f>
        <v>0.761083521444695</v>
      </c>
      <c r="O5" s="7" t="n">
        <f aca="false">IF(G5=0,0,I5/G5)</f>
        <v>0.053853706431026</v>
      </c>
      <c r="P5" s="8" t="n">
        <f aca="false">IF(I5=0,0,K5/I5)</f>
        <v>2.7661257976299</v>
      </c>
      <c r="Q5" s="9" t="n">
        <f aca="false">IF(K5=0,0,J5/K5)</f>
        <v>22.8124398571071</v>
      </c>
      <c r="R5" s="10" t="n">
        <f aca="false">IF(K5=0,0,(J5-K5)/K5)</f>
        <v>21.8124398571071</v>
      </c>
    </row>
    <row r="6" customFormat="false" ht="15" hidden="false" customHeight="false" outlineLevel="0" collapsed="false">
      <c r="A6" s="4" t="s">
        <v>25</v>
      </c>
      <c r="B6" s="4" t="s">
        <v>26</v>
      </c>
      <c r="C6" s="4" t="s">
        <v>22</v>
      </c>
      <c r="D6" s="4" t="s">
        <v>23</v>
      </c>
      <c r="E6" s="4" t="s">
        <v>27</v>
      </c>
      <c r="F6" s="5" t="n">
        <v>526568</v>
      </c>
      <c r="G6" s="5" t="n">
        <v>23155</v>
      </c>
      <c r="H6" s="5" t="n">
        <v>4563</v>
      </c>
      <c r="I6" s="5" t="n">
        <v>1233</v>
      </c>
      <c r="J6" s="6" t="n">
        <v>77679.17</v>
      </c>
      <c r="K6" s="6" t="n">
        <v>3424.21</v>
      </c>
      <c r="L6" s="7" t="n">
        <f aca="false">IF(F6=0,0,G6/F6)</f>
        <v>0.0439734279333343</v>
      </c>
      <c r="M6" s="8" t="n">
        <f aca="false">IF(G6=0,0,K6/G6)</f>
        <v>0.147882098898726</v>
      </c>
      <c r="N6" s="8" t="n">
        <f aca="false">IF(H6=0,0,K6/H6)</f>
        <v>0.750429541968004</v>
      </c>
      <c r="O6" s="7" t="n">
        <f aca="false">IF(G6=0,0,I6/G6)</f>
        <v>0.0532498380479378</v>
      </c>
      <c r="P6" s="8" t="n">
        <f aca="false">IF(I6=0,0,K6/I6)</f>
        <v>2.77713706407137</v>
      </c>
      <c r="Q6" s="9" t="n">
        <f aca="false">IF(K6=0,0,J6/K6)</f>
        <v>22.6852821526717</v>
      </c>
      <c r="R6" s="10" t="n">
        <f aca="false">IF(K6=0,0,(J6-K6)/K6)</f>
        <v>21.6852821526717</v>
      </c>
    </row>
    <row r="7" customFormat="false" ht="15" hidden="false" customHeight="false" outlineLevel="0" collapsed="false">
      <c r="A7" s="4" t="s">
        <v>28</v>
      </c>
      <c r="B7" s="4" t="s">
        <v>29</v>
      </c>
      <c r="C7" s="4" t="s">
        <v>22</v>
      </c>
      <c r="D7" s="4" t="s">
        <v>23</v>
      </c>
      <c r="E7" s="4" t="s">
        <v>30</v>
      </c>
      <c r="F7" s="5" t="n">
        <v>361777</v>
      </c>
      <c r="G7" s="5" t="n">
        <v>15999</v>
      </c>
      <c r="H7" s="5" t="n">
        <v>3117</v>
      </c>
      <c r="I7" s="5" t="n">
        <v>835</v>
      </c>
      <c r="J7" s="6" t="n">
        <v>52614.76</v>
      </c>
      <c r="K7" s="6" t="n">
        <v>2368.41</v>
      </c>
      <c r="L7" s="7" t="n">
        <f aca="false">IF(F7=0,0,G7/F7)</f>
        <v>0.0442233751731039</v>
      </c>
      <c r="M7" s="8" t="n">
        <f aca="false">IF(G7=0,0,K7/G7)</f>
        <v>0.148034877179824</v>
      </c>
      <c r="N7" s="8" t="n">
        <f aca="false">IF(H7=0,0,K7/H7)</f>
        <v>0.759836381135707</v>
      </c>
      <c r="O7" s="7" t="n">
        <f aca="false">IF(G7=0,0,I7/G7)</f>
        <v>0.0521907619226202</v>
      </c>
      <c r="P7" s="8" t="n">
        <f aca="false">IF(I7=0,0,K7/I7)</f>
        <v>2.83641916167665</v>
      </c>
      <c r="Q7" s="9" t="n">
        <f aca="false">IF(K7=0,0,J7/K7)</f>
        <v>22.2152245599368</v>
      </c>
      <c r="R7" s="10" t="n">
        <f aca="false">IF(K7=0,0,(J7-K7)/K7)</f>
        <v>21.2152245599368</v>
      </c>
    </row>
    <row r="8" customFormat="false" ht="15" hidden="false" customHeight="false" outlineLevel="0" collapsed="false">
      <c r="A8" s="4" t="s">
        <v>31</v>
      </c>
      <c r="B8" s="4" t="s">
        <v>32</v>
      </c>
      <c r="C8" s="4" t="s">
        <v>22</v>
      </c>
      <c r="D8" s="4" t="s">
        <v>33</v>
      </c>
      <c r="E8" s="4" t="s">
        <v>24</v>
      </c>
      <c r="F8" s="5" t="n">
        <v>312726</v>
      </c>
      <c r="G8" s="5" t="n">
        <v>14285</v>
      </c>
      <c r="H8" s="5" t="n">
        <v>2752</v>
      </c>
      <c r="I8" s="5" t="n">
        <v>759</v>
      </c>
      <c r="J8" s="6" t="n">
        <v>47747.24</v>
      </c>
      <c r="K8" s="6" t="n">
        <v>2161.9</v>
      </c>
      <c r="L8" s="7" t="n">
        <f aca="false">IF(F8=0,0,G8/F8)</f>
        <v>0.0456789649725319</v>
      </c>
      <c r="M8" s="8" t="n">
        <f aca="false">IF(G8=0,0,K8/G8)</f>
        <v>0.151340567028351</v>
      </c>
      <c r="N8" s="8" t="n">
        <f aca="false">IF(H8=0,0,K8/H8)</f>
        <v>0.785574127906977</v>
      </c>
      <c r="O8" s="7" t="n">
        <f aca="false">IF(G8=0,0,I8/G8)</f>
        <v>0.0531326566328316</v>
      </c>
      <c r="P8" s="8" t="n">
        <f aca="false">IF(I8=0,0,K8/I8)</f>
        <v>2.84835309617918</v>
      </c>
      <c r="Q8" s="9" t="n">
        <f aca="false">IF(K8=0,0,J8/K8)</f>
        <v>22.0857764003885</v>
      </c>
      <c r="R8" s="10" t="n">
        <f aca="false">IF(K8=0,0,(J8-K8)/K8)</f>
        <v>21.0857764003885</v>
      </c>
    </row>
    <row r="9" customFormat="false" ht="15" hidden="false" customHeight="false" outlineLevel="0" collapsed="false">
      <c r="A9" s="4" t="s">
        <v>34</v>
      </c>
      <c r="B9" s="4" t="s">
        <v>35</v>
      </c>
      <c r="C9" s="4" t="s">
        <v>22</v>
      </c>
      <c r="D9" s="4" t="s">
        <v>23</v>
      </c>
      <c r="E9" s="4" t="s">
        <v>30</v>
      </c>
      <c r="F9" s="5" t="n">
        <v>412751</v>
      </c>
      <c r="G9" s="5" t="n">
        <v>19518</v>
      </c>
      <c r="H9" s="5" t="n">
        <v>3804</v>
      </c>
      <c r="I9" s="5" t="n">
        <v>1050</v>
      </c>
      <c r="J9" s="6" t="n">
        <v>64312.04</v>
      </c>
      <c r="K9" s="6" t="n">
        <v>2932.92</v>
      </c>
      <c r="L9" s="7" t="n">
        <f aca="false">IF(F9=0,0,G9/F9)</f>
        <v>0.0472875898544159</v>
      </c>
      <c r="M9" s="8" t="n">
        <f aca="false">IF(G9=0,0,K9/G9)</f>
        <v>0.150267445434983</v>
      </c>
      <c r="N9" s="8" t="n">
        <f aca="false">IF(H9=0,0,K9/H9)</f>
        <v>0.771009463722398</v>
      </c>
      <c r="O9" s="7" t="n">
        <f aca="false">IF(G9=0,0,I9/G9)</f>
        <v>0.0537964955425761</v>
      </c>
      <c r="P9" s="8" t="n">
        <f aca="false">IF(I9=0,0,K9/I9)</f>
        <v>2.79325714285714</v>
      </c>
      <c r="Q9" s="9" t="n">
        <f aca="false">IF(K9=0,0,J9/K9)</f>
        <v>21.9276488959808</v>
      </c>
      <c r="R9" s="10" t="n">
        <f aca="false">IF(K9=0,0,(J9-K9)/K9)</f>
        <v>20.9276488959808</v>
      </c>
    </row>
    <row r="10" customFormat="false" ht="15" hidden="false" customHeight="false" outlineLevel="0" collapsed="false">
      <c r="A10" s="4" t="s">
        <v>36</v>
      </c>
      <c r="B10" s="4" t="s">
        <v>37</v>
      </c>
      <c r="C10" s="4" t="s">
        <v>22</v>
      </c>
      <c r="D10" s="4" t="s">
        <v>33</v>
      </c>
      <c r="E10" s="4" t="s">
        <v>27</v>
      </c>
      <c r="F10" s="5" t="n">
        <v>520807</v>
      </c>
      <c r="G10" s="5" t="n">
        <v>23969</v>
      </c>
      <c r="H10" s="5" t="n">
        <v>4719</v>
      </c>
      <c r="I10" s="5" t="n">
        <v>1284</v>
      </c>
      <c r="J10" s="6" t="n">
        <v>77368.73</v>
      </c>
      <c r="K10" s="6" t="n">
        <v>3536.84</v>
      </c>
      <c r="L10" s="7" t="n">
        <f aca="false">IF(F10=0,0,G10/F10)</f>
        <v>0.0460228069131175</v>
      </c>
      <c r="M10" s="8" t="n">
        <f aca="false">IF(G10=0,0,K10/G10)</f>
        <v>0.147558930284951</v>
      </c>
      <c r="N10" s="8" t="n">
        <f aca="false">IF(H10=0,0,K10/H10)</f>
        <v>0.749489298580208</v>
      </c>
      <c r="O10" s="7" t="n">
        <f aca="false">IF(G10=0,0,I10/G10)</f>
        <v>0.053569193541658</v>
      </c>
      <c r="P10" s="8" t="n">
        <f aca="false">IF(I10=0,0,K10/I10)</f>
        <v>2.75454828660436</v>
      </c>
      <c r="Q10" s="9" t="n">
        <f aca="false">IF(K10=0,0,J10/K10)</f>
        <v>21.8751003720836</v>
      </c>
      <c r="R10" s="10" t="n">
        <f aca="false">IF(K10=0,0,(J10-K10)/K10)</f>
        <v>20.8751003720836</v>
      </c>
    </row>
    <row r="11" customFormat="false" ht="15" hidden="false" customHeight="false" outlineLevel="0" collapsed="false">
      <c r="A11" s="4" t="s">
        <v>38</v>
      </c>
      <c r="B11" s="4" t="s">
        <v>39</v>
      </c>
      <c r="C11" s="4" t="s">
        <v>22</v>
      </c>
      <c r="D11" s="4" t="s">
        <v>23</v>
      </c>
      <c r="E11" s="4" t="s">
        <v>40</v>
      </c>
      <c r="F11" s="5" t="n">
        <v>349680</v>
      </c>
      <c r="G11" s="5" t="n">
        <v>16142</v>
      </c>
      <c r="H11" s="5" t="n">
        <v>3262</v>
      </c>
      <c r="I11" s="5" t="n">
        <v>850</v>
      </c>
      <c r="J11" s="6" t="n">
        <v>51984.25</v>
      </c>
      <c r="K11" s="6" t="n">
        <v>2423.92</v>
      </c>
      <c r="L11" s="7" t="n">
        <f aca="false">IF(F11=0,0,G11/F11)</f>
        <v>0.0461622054449783</v>
      </c>
      <c r="M11" s="8" t="n">
        <f aca="false">IF(G11=0,0,K11/G11)</f>
        <v>0.150162309503159</v>
      </c>
      <c r="N11" s="8" t="n">
        <f aca="false">IF(H11=0,0,K11/H11)</f>
        <v>0.743077866339669</v>
      </c>
      <c r="O11" s="7" t="n">
        <f aca="false">IF(G11=0,0,I11/G11)</f>
        <v>0.052657663238756</v>
      </c>
      <c r="P11" s="8" t="n">
        <f aca="false">IF(I11=0,0,K11/I11)</f>
        <v>2.85167058823529</v>
      </c>
      <c r="Q11" s="9" t="n">
        <f aca="false">IF(K11=0,0,J11/K11)</f>
        <v>21.4463554902802</v>
      </c>
      <c r="R11" s="10" t="n">
        <f aca="false">IF(K11=0,0,(J11-K11)/K11)</f>
        <v>20.4463554902802</v>
      </c>
    </row>
    <row r="12" customFormat="false" ht="15" hidden="false" customHeight="false" outlineLevel="0" collapsed="false">
      <c r="A12" s="4" t="s">
        <v>41</v>
      </c>
      <c r="B12" s="4" t="s">
        <v>35</v>
      </c>
      <c r="C12" s="4" t="s">
        <v>22</v>
      </c>
      <c r="D12" s="4" t="s">
        <v>23</v>
      </c>
      <c r="E12" s="4" t="s">
        <v>30</v>
      </c>
      <c r="F12" s="5" t="n">
        <v>370401</v>
      </c>
      <c r="G12" s="5" t="n">
        <v>16097</v>
      </c>
      <c r="H12" s="5" t="n">
        <v>2916</v>
      </c>
      <c r="I12" s="5" t="n">
        <v>782</v>
      </c>
      <c r="J12" s="6" t="n">
        <v>49276.38</v>
      </c>
      <c r="K12" s="6" t="n">
        <v>2380.74</v>
      </c>
      <c r="L12" s="7" t="n">
        <f aca="false">IF(F12=0,0,G12/F12)</f>
        <v>0.043458305998094</v>
      </c>
      <c r="M12" s="8" t="n">
        <f aca="false">IF(G12=0,0,K12/G12)</f>
        <v>0.147899608622725</v>
      </c>
      <c r="N12" s="8" t="n">
        <f aca="false">IF(H12=0,0,K12/H12)</f>
        <v>0.816440329218107</v>
      </c>
      <c r="O12" s="7" t="n">
        <f aca="false">IF(G12=0,0,I12/G12)</f>
        <v>0.0485804808349382</v>
      </c>
      <c r="P12" s="8" t="n">
        <f aca="false">IF(I12=0,0,K12/I12)</f>
        <v>3.04442455242967</v>
      </c>
      <c r="Q12" s="9" t="n">
        <f aca="false">IF(K12=0,0,J12/K12)</f>
        <v>20.6979258549863</v>
      </c>
      <c r="R12" s="10" t="n">
        <f aca="false">IF(K12=0,0,(J12-K12)/K12)</f>
        <v>19.6979258549863</v>
      </c>
    </row>
    <row r="13" customFormat="false" ht="15" hidden="false" customHeight="false" outlineLevel="0" collapsed="false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27</v>
      </c>
      <c r="F13" s="5" t="n">
        <v>580703</v>
      </c>
      <c r="G13" s="5" t="n">
        <v>20662</v>
      </c>
      <c r="H13" s="5" t="n">
        <v>2918</v>
      </c>
      <c r="I13" s="5" t="n">
        <v>603</v>
      </c>
      <c r="J13" s="6" t="n">
        <v>43888.79</v>
      </c>
      <c r="K13" s="6" t="n">
        <v>6022.8</v>
      </c>
      <c r="L13" s="7" t="n">
        <f aca="false">IF(F13=0,0,G13/F13)</f>
        <v>0.0355810112914864</v>
      </c>
      <c r="M13" s="8" t="n">
        <f aca="false">IF(G13=0,0,K13/G13)</f>
        <v>0.291491627141613</v>
      </c>
      <c r="N13" s="8" t="n">
        <f aca="false">IF(H13=0,0,K13/H13)</f>
        <v>2.06401644962303</v>
      </c>
      <c r="O13" s="7" t="n">
        <f aca="false">IF(G13=0,0,I13/G13)</f>
        <v>0.0291840092924209</v>
      </c>
      <c r="P13" s="8" t="n">
        <f aca="false">IF(I13=0,0,K13/I13)</f>
        <v>9.98805970149254</v>
      </c>
      <c r="Q13" s="9" t="n">
        <f aca="false">IF(K13=0,0,J13/K13)</f>
        <v>7.28710732549645</v>
      </c>
      <c r="R13" s="10" t="n">
        <f aca="false">IF(K13=0,0,(J13-K13)/K13)</f>
        <v>6.28710732549645</v>
      </c>
    </row>
    <row r="14" customFormat="false" ht="15" hidden="false" customHeight="false" outlineLevel="0" collapsed="false">
      <c r="A14" s="4" t="s">
        <v>46</v>
      </c>
      <c r="B14" s="4" t="s">
        <v>47</v>
      </c>
      <c r="C14" s="4" t="s">
        <v>44</v>
      </c>
      <c r="D14" s="4" t="s">
        <v>45</v>
      </c>
      <c r="E14" s="4" t="s">
        <v>27</v>
      </c>
      <c r="F14" s="5" t="n">
        <v>483029</v>
      </c>
      <c r="G14" s="5" t="n">
        <v>17062</v>
      </c>
      <c r="H14" s="5" t="n">
        <v>2318</v>
      </c>
      <c r="I14" s="5" t="n">
        <v>498</v>
      </c>
      <c r="J14" s="6" t="n">
        <v>36137.52</v>
      </c>
      <c r="K14" s="6" t="n">
        <v>15051.13</v>
      </c>
      <c r="L14" s="7" t="n">
        <f aca="false">IF(F14=0,0,G14/F14)</f>
        <v>0.0353229309213319</v>
      </c>
      <c r="M14" s="8" t="n">
        <f aca="false">IF(G14=0,0,K14/G14)</f>
        <v>0.882143359512367</v>
      </c>
      <c r="N14" s="8" t="n">
        <f aca="false">IF(H14=0,0,K14/H14)</f>
        <v>6.49315358067299</v>
      </c>
      <c r="O14" s="7" t="n">
        <f aca="false">IF(G14=0,0,I14/G14)</f>
        <v>0.0291876685031063</v>
      </c>
      <c r="P14" s="8" t="n">
        <f aca="false">IF(I14=0,0,K14/I14)</f>
        <v>30.2231526104418</v>
      </c>
      <c r="Q14" s="9" t="n">
        <f aca="false">IF(K14=0,0,J14/K14)</f>
        <v>2.40098384639559</v>
      </c>
      <c r="R14" s="10" t="n">
        <f aca="false">IF(K14=0,0,(J14-K14)/K14)</f>
        <v>1.40098384639559</v>
      </c>
    </row>
    <row r="15" customFormat="false" ht="15" hidden="false" customHeight="false" outlineLevel="0" collapsed="false">
      <c r="A15" s="4" t="s">
        <v>48</v>
      </c>
      <c r="B15" s="4" t="s">
        <v>49</v>
      </c>
      <c r="C15" s="4" t="s">
        <v>44</v>
      </c>
      <c r="D15" s="4" t="s">
        <v>23</v>
      </c>
      <c r="E15" s="4" t="s">
        <v>40</v>
      </c>
      <c r="F15" s="5" t="n">
        <v>139156</v>
      </c>
      <c r="G15" s="5" t="n">
        <v>4745</v>
      </c>
      <c r="H15" s="5" t="n">
        <v>643</v>
      </c>
      <c r="I15" s="5" t="n">
        <v>127</v>
      </c>
      <c r="J15" s="6" t="n">
        <v>9813.29</v>
      </c>
      <c r="K15" s="6" t="n">
        <v>4142.17</v>
      </c>
      <c r="L15" s="7" t="n">
        <f aca="false">IF(F15=0,0,G15/F15)</f>
        <v>0.0340984219149731</v>
      </c>
      <c r="M15" s="8" t="n">
        <f aca="false">IF(G15=0,0,K15/G15)</f>
        <v>0.87295468914647</v>
      </c>
      <c r="N15" s="8" t="n">
        <f aca="false">IF(H15=0,0,K15/H15)</f>
        <v>6.44194401244168</v>
      </c>
      <c r="O15" s="7" t="n">
        <f aca="false">IF(G15=0,0,I15/G15)</f>
        <v>0.0267650158061117</v>
      </c>
      <c r="P15" s="8" t="n">
        <f aca="false">IF(I15=0,0,K15/I15)</f>
        <v>32.6155118110236</v>
      </c>
      <c r="Q15" s="9" t="n">
        <f aca="false">IF(K15=0,0,J15/K15)</f>
        <v>2.36911811924668</v>
      </c>
      <c r="R15" s="10" t="n">
        <f aca="false">IF(K15=0,0,(J15-K15)/K15)</f>
        <v>1.36911811924668</v>
      </c>
    </row>
    <row r="16" customFormat="false" ht="15" hidden="false" customHeight="false" outlineLevel="0" collapsed="false">
      <c r="A16" s="4" t="s">
        <v>50</v>
      </c>
      <c r="B16" s="4" t="s">
        <v>49</v>
      </c>
      <c r="C16" s="4" t="s">
        <v>44</v>
      </c>
      <c r="D16" s="4" t="s">
        <v>33</v>
      </c>
      <c r="E16" s="4" t="s">
        <v>30</v>
      </c>
      <c r="F16" s="5" t="n">
        <v>337713</v>
      </c>
      <c r="G16" s="5" t="n">
        <v>12125</v>
      </c>
      <c r="H16" s="5" t="n">
        <v>1694</v>
      </c>
      <c r="I16" s="5" t="n">
        <v>357</v>
      </c>
      <c r="J16" s="6" t="n">
        <v>24754.47</v>
      </c>
      <c r="K16" s="6" t="n">
        <v>11170.14</v>
      </c>
      <c r="L16" s="7" t="n">
        <f aca="false">IF(F16=0,0,G16/F16)</f>
        <v>0.0359032669752127</v>
      </c>
      <c r="M16" s="8" t="n">
        <f aca="false">IF(G16=0,0,K16/G16)</f>
        <v>0.921248659793814</v>
      </c>
      <c r="N16" s="8" t="n">
        <f aca="false">IF(H16=0,0,K16/H16)</f>
        <v>6.59394332939788</v>
      </c>
      <c r="O16" s="7" t="n">
        <f aca="false">IF(G16=0,0,I16/G16)</f>
        <v>0.0294432989690722</v>
      </c>
      <c r="P16" s="8" t="n">
        <f aca="false">IF(I16=0,0,K16/I16)</f>
        <v>31.2889075630252</v>
      </c>
      <c r="Q16" s="9" t="n">
        <f aca="false">IF(K16=0,0,J16/K16)</f>
        <v>2.21612889363965</v>
      </c>
      <c r="R16" s="10" t="n">
        <f aca="false">IF(K16=0,0,(J16-K16)/K16)</f>
        <v>1.21612889363965</v>
      </c>
    </row>
    <row r="17" customFormat="false" ht="15" hidden="false" customHeight="false" outlineLevel="0" collapsed="false">
      <c r="A17" s="4" t="s">
        <v>51</v>
      </c>
      <c r="B17" s="4" t="s">
        <v>52</v>
      </c>
      <c r="C17" s="4" t="s">
        <v>53</v>
      </c>
      <c r="D17" s="4" t="s">
        <v>23</v>
      </c>
      <c r="E17" s="4" t="s">
        <v>27</v>
      </c>
      <c r="F17" s="5" t="n">
        <v>286072</v>
      </c>
      <c r="G17" s="5" t="n">
        <v>7369</v>
      </c>
      <c r="H17" s="5" t="n">
        <v>812</v>
      </c>
      <c r="I17" s="5" t="n">
        <v>135</v>
      </c>
      <c r="J17" s="6" t="n">
        <v>9168.2</v>
      </c>
      <c r="K17" s="6" t="n">
        <v>4215.62</v>
      </c>
      <c r="L17" s="7" t="n">
        <f aca="false">IF(F17=0,0,G17/F17)</f>
        <v>0.0257592494197265</v>
      </c>
      <c r="M17" s="8" t="n">
        <f aca="false">IF(G17=0,0,K17/G17)</f>
        <v>0.572074908400054</v>
      </c>
      <c r="N17" s="8" t="n">
        <f aca="false">IF(H17=0,0,K17/H17)</f>
        <v>5.19165024630542</v>
      </c>
      <c r="O17" s="7" t="n">
        <f aca="false">IF(G17=0,0,I17/G17)</f>
        <v>0.0183199891437101</v>
      </c>
      <c r="P17" s="8" t="n">
        <f aca="false">IF(I17=0,0,K17/I17)</f>
        <v>31.2268148148148</v>
      </c>
      <c r="Q17" s="9" t="n">
        <f aca="false">IF(K17=0,0,J17/K17)</f>
        <v>2.17481651572011</v>
      </c>
      <c r="R17" s="10" t="n">
        <f aca="false">IF(K17=0,0,(J17-K17)/K17)</f>
        <v>1.17481651572011</v>
      </c>
    </row>
    <row r="18" customFormat="false" ht="15" hidden="false" customHeight="false" outlineLevel="0" collapsed="false">
      <c r="A18" s="4" t="s">
        <v>54</v>
      </c>
      <c r="B18" s="4" t="s">
        <v>55</v>
      </c>
      <c r="C18" s="4" t="s">
        <v>44</v>
      </c>
      <c r="D18" s="4" t="s">
        <v>23</v>
      </c>
      <c r="E18" s="4" t="s">
        <v>30</v>
      </c>
      <c r="F18" s="5" t="n">
        <v>190976</v>
      </c>
      <c r="G18" s="5" t="n">
        <v>6521</v>
      </c>
      <c r="H18" s="5" t="n">
        <v>856</v>
      </c>
      <c r="I18" s="5" t="n">
        <v>173</v>
      </c>
      <c r="J18" s="6" t="n">
        <v>11832.29</v>
      </c>
      <c r="K18" s="6" t="n">
        <v>6236.3</v>
      </c>
      <c r="L18" s="7" t="n">
        <f aca="false">IF(F18=0,0,G18/F18)</f>
        <v>0.0341456518096515</v>
      </c>
      <c r="M18" s="8" t="n">
        <f aca="false">IF(G18=0,0,K18/G18)</f>
        <v>0.956341051985892</v>
      </c>
      <c r="N18" s="8" t="n">
        <f aca="false">IF(H18=0,0,K18/H18)</f>
        <v>7.28539719626168</v>
      </c>
      <c r="O18" s="7" t="n">
        <f aca="false">IF(G18=0,0,I18/G18)</f>
        <v>0.0265296733629811</v>
      </c>
      <c r="P18" s="8" t="n">
        <f aca="false">IF(I18=0,0,K18/I18)</f>
        <v>36.0479768786127</v>
      </c>
      <c r="Q18" s="9" t="n">
        <f aca="false">IF(K18=0,0,J18/K18)</f>
        <v>1.89732533713901</v>
      </c>
      <c r="R18" s="10" t="n">
        <f aca="false">IF(K18=0,0,(J18-K18)/K18)</f>
        <v>0.897325337139009</v>
      </c>
    </row>
    <row r="19" customFormat="false" ht="15" hidden="false" customHeight="false" outlineLevel="0" collapsed="false">
      <c r="A19" s="4" t="s">
        <v>56</v>
      </c>
      <c r="B19" s="4" t="s">
        <v>57</v>
      </c>
      <c r="C19" s="4" t="s">
        <v>44</v>
      </c>
      <c r="D19" s="4" t="s">
        <v>45</v>
      </c>
      <c r="E19" s="4" t="s">
        <v>40</v>
      </c>
      <c r="F19" s="5" t="n">
        <v>180674</v>
      </c>
      <c r="G19" s="5" t="n">
        <v>6345</v>
      </c>
      <c r="H19" s="5" t="n">
        <v>814</v>
      </c>
      <c r="I19" s="5" t="n">
        <v>165</v>
      </c>
      <c r="J19" s="6" t="n">
        <v>11236.77</v>
      </c>
      <c r="K19" s="6" t="n">
        <v>7299.06</v>
      </c>
      <c r="L19" s="7" t="n">
        <f aca="false">IF(F19=0,0,G19/F19)</f>
        <v>0.0351185007250628</v>
      </c>
      <c r="M19" s="8" t="n">
        <f aca="false">IF(G19=0,0,K19/G19)</f>
        <v>1.15036406619385</v>
      </c>
      <c r="N19" s="8" t="n">
        <f aca="false">IF(H19=0,0,K19/H19)</f>
        <v>8.96690417690418</v>
      </c>
      <c r="O19" s="7" t="n">
        <f aca="false">IF(G19=0,0,I19/G19)</f>
        <v>0.0260047281323877</v>
      </c>
      <c r="P19" s="8" t="n">
        <f aca="false">IF(I19=0,0,K19/I19)</f>
        <v>44.2367272727273</v>
      </c>
      <c r="Q19" s="9" t="n">
        <f aca="false">IF(K19=0,0,J19/K19)</f>
        <v>1.5394817962861</v>
      </c>
      <c r="R19" s="10" t="n">
        <f aca="false">IF(K19=0,0,(J19-K19)/K19)</f>
        <v>0.539481796286097</v>
      </c>
    </row>
    <row r="20" customFormat="false" ht="15" hidden="false" customHeight="false" outlineLevel="0" collapsed="false">
      <c r="A20" s="4" t="s">
        <v>58</v>
      </c>
      <c r="B20" s="4" t="s">
        <v>59</v>
      </c>
      <c r="C20" s="4" t="s">
        <v>44</v>
      </c>
      <c r="D20" s="4" t="s">
        <v>45</v>
      </c>
      <c r="E20" s="4" t="s">
        <v>40</v>
      </c>
      <c r="F20" s="5" t="n">
        <v>559758</v>
      </c>
      <c r="G20" s="5" t="n">
        <v>19645</v>
      </c>
      <c r="H20" s="5" t="n">
        <v>2688</v>
      </c>
      <c r="I20" s="5" t="n">
        <v>554</v>
      </c>
      <c r="J20" s="6" t="n">
        <v>38978.81</v>
      </c>
      <c r="K20" s="6" t="n">
        <v>26617.26</v>
      </c>
      <c r="L20" s="7" t="n">
        <f aca="false">IF(F20=0,0,G20/F20)</f>
        <v>0.0350955234226219</v>
      </c>
      <c r="M20" s="8" t="n">
        <f aca="false">IF(G20=0,0,K20/G20)</f>
        <v>1.35491270043268</v>
      </c>
      <c r="N20" s="8" t="n">
        <f aca="false">IF(H20=0,0,K20/H20)</f>
        <v>9.90225446428571</v>
      </c>
      <c r="O20" s="7" t="n">
        <f aca="false">IF(G20=0,0,I20/G20)</f>
        <v>0.0282005599389158</v>
      </c>
      <c r="P20" s="8" t="n">
        <f aca="false">IF(I20=0,0,K20/I20)</f>
        <v>48.04559566787</v>
      </c>
      <c r="Q20" s="9" t="n">
        <f aca="false">IF(K20=0,0,J20/K20)</f>
        <v>1.46441857651764</v>
      </c>
      <c r="R20" s="10" t="n">
        <f aca="false">IF(K20=0,0,(J20-K20)/K20)</f>
        <v>0.464418576517643</v>
      </c>
    </row>
    <row r="21" customFormat="false" ht="15" hidden="false" customHeight="false" outlineLevel="0" collapsed="false">
      <c r="A21" s="4" t="s">
        <v>60</v>
      </c>
      <c r="B21" s="4" t="s">
        <v>61</v>
      </c>
      <c r="C21" s="4" t="s">
        <v>53</v>
      </c>
      <c r="D21" s="4" t="s">
        <v>45</v>
      </c>
      <c r="E21" s="4" t="s">
        <v>30</v>
      </c>
      <c r="F21" s="5" t="n">
        <v>536155</v>
      </c>
      <c r="G21" s="5" t="n">
        <v>13545</v>
      </c>
      <c r="H21" s="5" t="n">
        <v>1487</v>
      </c>
      <c r="I21" s="5" t="n">
        <v>254</v>
      </c>
      <c r="J21" s="6" t="n">
        <v>18063.98</v>
      </c>
      <c r="K21" s="6" t="n">
        <v>14923.21</v>
      </c>
      <c r="L21" s="7" t="n">
        <f aca="false">IF(F21=0,0,G21/F21)</f>
        <v>0.0252632167936511</v>
      </c>
      <c r="M21" s="8" t="n">
        <f aca="false">IF(G21=0,0,K21/G21)</f>
        <v>1.10175046142488</v>
      </c>
      <c r="N21" s="8" t="n">
        <f aca="false">IF(H21=0,0,K21/H21)</f>
        <v>10.0357834566241</v>
      </c>
      <c r="O21" s="7" t="n">
        <f aca="false">IF(G21=0,0,I21/G21)</f>
        <v>0.0187523071244002</v>
      </c>
      <c r="P21" s="8" t="n">
        <f aca="false">IF(I21=0,0,K21/I21)</f>
        <v>58.7527952755906</v>
      </c>
      <c r="Q21" s="9" t="n">
        <f aca="false">IF(K21=0,0,J21/K21)</f>
        <v>1.21046209227103</v>
      </c>
      <c r="R21" s="10" t="n">
        <f aca="false">IF(K21=0,0,(J21-K21)/K21)</f>
        <v>0.210462092271033</v>
      </c>
    </row>
    <row r="22" customFormat="false" ht="15" hidden="false" customHeight="false" outlineLevel="0" collapsed="false">
      <c r="A22" s="4" t="s">
        <v>62</v>
      </c>
      <c r="B22" s="4" t="s">
        <v>63</v>
      </c>
      <c r="C22" s="4" t="s">
        <v>64</v>
      </c>
      <c r="D22" s="4" t="s">
        <v>23</v>
      </c>
      <c r="E22" s="4" t="s">
        <v>27</v>
      </c>
      <c r="F22" s="5" t="n">
        <v>559069</v>
      </c>
      <c r="G22" s="5" t="n">
        <v>10240</v>
      </c>
      <c r="H22" s="5" t="n">
        <v>893</v>
      </c>
      <c r="I22" s="5" t="n">
        <v>112</v>
      </c>
      <c r="J22" s="6" t="n">
        <v>8021.27</v>
      </c>
      <c r="K22" s="6" t="n">
        <v>8606.51</v>
      </c>
      <c r="L22" s="7" t="n">
        <f aca="false">IF(F22=0,0,G22/F22)</f>
        <v>0.018316164909877</v>
      </c>
      <c r="M22" s="8" t="n">
        <f aca="false">IF(G22=0,0,K22/G22)</f>
        <v>0.8404794921875</v>
      </c>
      <c r="N22" s="8" t="n">
        <f aca="false">IF(H22=0,0,K22/H22)</f>
        <v>9.63774916013438</v>
      </c>
      <c r="O22" s="7" t="n">
        <f aca="false">IF(G22=0,0,I22/G22)</f>
        <v>0.0109375</v>
      </c>
      <c r="P22" s="8" t="n">
        <f aca="false">IF(I22=0,0,K22/I22)</f>
        <v>76.8438392857143</v>
      </c>
      <c r="Q22" s="9" t="n">
        <f aca="false">IF(K22=0,0,J22/K22)</f>
        <v>0.93200031139219</v>
      </c>
      <c r="R22" s="10" t="n">
        <f aca="false">IF(K22=0,0,(J22-K22)/K22)</f>
        <v>-0.0679996886078096</v>
      </c>
    </row>
    <row r="23" customFormat="false" ht="15" hidden="false" customHeight="false" outlineLevel="0" collapsed="false">
      <c r="A23" s="4" t="s">
        <v>65</v>
      </c>
      <c r="B23" s="4" t="s">
        <v>66</v>
      </c>
      <c r="C23" s="4" t="s">
        <v>64</v>
      </c>
      <c r="D23" s="4" t="s">
        <v>23</v>
      </c>
      <c r="E23" s="4" t="s">
        <v>30</v>
      </c>
      <c r="F23" s="5" t="n">
        <v>231038</v>
      </c>
      <c r="G23" s="5" t="n">
        <v>3909</v>
      </c>
      <c r="H23" s="5" t="n">
        <v>347</v>
      </c>
      <c r="I23" s="5" t="n">
        <v>42</v>
      </c>
      <c r="J23" s="6" t="n">
        <v>2988.13</v>
      </c>
      <c r="K23" s="6" t="n">
        <v>3208.99</v>
      </c>
      <c r="L23" s="7" t="n">
        <f aca="false">IF(F23=0,0,G23/F23)</f>
        <v>0.0169192946614843</v>
      </c>
      <c r="M23" s="8" t="n">
        <f aca="false">IF(G23=0,0,K23/G23)</f>
        <v>0.820923509849066</v>
      </c>
      <c r="N23" s="8" t="n">
        <f aca="false">IF(H23=0,0,K23/H23)</f>
        <v>9.24780979827089</v>
      </c>
      <c r="O23" s="7" t="n">
        <f aca="false">IF(G23=0,0,I23/G23)</f>
        <v>0.0107444359171144</v>
      </c>
      <c r="P23" s="8" t="n">
        <f aca="false">IF(I23=0,0,K23/I23)</f>
        <v>76.4045238095238</v>
      </c>
      <c r="Q23" s="9" t="n">
        <f aca="false">IF(K23=0,0,J23/K23)</f>
        <v>0.931174606340313</v>
      </c>
      <c r="R23" s="10" t="n">
        <f aca="false">IF(K23=0,0,(J23-K23)/K23)</f>
        <v>-0.0688253936596872</v>
      </c>
    </row>
    <row r="24" customFormat="false" ht="15" hidden="false" customHeight="false" outlineLevel="0" collapsed="false">
      <c r="A24" s="4" t="s">
        <v>67</v>
      </c>
      <c r="B24" s="4" t="s">
        <v>63</v>
      </c>
      <c r="C24" s="4" t="s">
        <v>64</v>
      </c>
      <c r="D24" s="4" t="s">
        <v>68</v>
      </c>
      <c r="E24" s="4" t="s">
        <v>30</v>
      </c>
      <c r="F24" s="5" t="n">
        <v>345502</v>
      </c>
      <c r="G24" s="5" t="n">
        <v>6002</v>
      </c>
      <c r="H24" s="5" t="n">
        <v>517</v>
      </c>
      <c r="I24" s="5" t="n">
        <v>67</v>
      </c>
      <c r="J24" s="6" t="n">
        <v>4626.61</v>
      </c>
      <c r="K24" s="6" t="n">
        <v>5100.66</v>
      </c>
      <c r="L24" s="7" t="n">
        <f aca="false">IF(F24=0,0,G24/F24)</f>
        <v>0.0173718241862565</v>
      </c>
      <c r="M24" s="8" t="n">
        <f aca="false">IF(G24=0,0,K24/G24)</f>
        <v>0.849826724425192</v>
      </c>
      <c r="N24" s="8" t="n">
        <f aca="false">IF(H24=0,0,K24/H24)</f>
        <v>9.86588007736944</v>
      </c>
      <c r="O24" s="7" t="n">
        <f aca="false">IF(G24=0,0,I24/G24)</f>
        <v>0.0111629456847717</v>
      </c>
      <c r="P24" s="8" t="n">
        <f aca="false">IF(I24=0,0,K24/I24)</f>
        <v>76.1292537313433</v>
      </c>
      <c r="Q24" s="9" t="n">
        <f aca="false">IF(K24=0,0,J24/K24)</f>
        <v>0.907061047001761</v>
      </c>
      <c r="R24" s="10" t="n">
        <f aca="false">IF(K24=0,0,(J24-K24)/K24)</f>
        <v>-0.0929389529982395</v>
      </c>
    </row>
    <row r="25" customFormat="false" ht="15" hidden="false" customHeight="false" outlineLevel="0" collapsed="false">
      <c r="A25" s="4" t="s">
        <v>69</v>
      </c>
      <c r="B25" s="4" t="s">
        <v>70</v>
      </c>
      <c r="C25" s="4" t="s">
        <v>64</v>
      </c>
      <c r="D25" s="4" t="s">
        <v>45</v>
      </c>
      <c r="E25" s="4" t="s">
        <v>24</v>
      </c>
      <c r="F25" s="5" t="n">
        <v>612138</v>
      </c>
      <c r="G25" s="5" t="n">
        <v>10958</v>
      </c>
      <c r="H25" s="5" t="n">
        <v>960</v>
      </c>
      <c r="I25" s="5" t="n">
        <v>124</v>
      </c>
      <c r="J25" s="6" t="n">
        <v>8309.96</v>
      </c>
      <c r="K25" s="6" t="n">
        <v>9266.25</v>
      </c>
      <c r="L25" s="7" t="n">
        <f aca="false">IF(F25=0,0,G25/F25)</f>
        <v>0.0179011922148274</v>
      </c>
      <c r="M25" s="8" t="n">
        <f aca="false">IF(G25=0,0,K25/G25)</f>
        <v>0.845615075743749</v>
      </c>
      <c r="N25" s="8" t="n">
        <f aca="false">IF(H25=0,0,K25/H25)</f>
        <v>9.65234375</v>
      </c>
      <c r="O25" s="7" t="n">
        <f aca="false">IF(G25=0,0,I25/G25)</f>
        <v>0.0113159335645191</v>
      </c>
      <c r="P25" s="8" t="n">
        <f aca="false">IF(I25=0,0,K25/I25)</f>
        <v>74.7278225806452</v>
      </c>
      <c r="Q25" s="9" t="n">
        <f aca="false">IF(K25=0,0,J25/K25)</f>
        <v>0.89679859705922</v>
      </c>
      <c r="R25" s="10" t="n">
        <f aca="false">IF(K25=0,0,(J25-K25)/K25)</f>
        <v>-0.10320140294078</v>
      </c>
    </row>
    <row r="26" customFormat="false" ht="15" hidden="false" customHeight="false" outlineLevel="0" collapsed="false">
      <c r="A26" s="4" t="s">
        <v>71</v>
      </c>
      <c r="B26" s="4" t="s">
        <v>72</v>
      </c>
      <c r="C26" s="4" t="s">
        <v>64</v>
      </c>
      <c r="D26" s="4" t="s">
        <v>23</v>
      </c>
      <c r="E26" s="4" t="s">
        <v>27</v>
      </c>
      <c r="F26" s="5" t="n">
        <v>240238</v>
      </c>
      <c r="G26" s="5" t="n">
        <v>4234</v>
      </c>
      <c r="H26" s="5" t="n">
        <v>362</v>
      </c>
      <c r="I26" s="5" t="n">
        <v>42</v>
      </c>
      <c r="J26" s="6" t="n">
        <v>3053.34</v>
      </c>
      <c r="K26" s="6" t="n">
        <v>3438.09</v>
      </c>
      <c r="L26" s="7" t="n">
        <f aca="false">IF(F26=0,0,G26/F26)</f>
        <v>0.0176241893455656</v>
      </c>
      <c r="M26" s="8" t="n">
        <f aca="false">IF(G26=0,0,K26/G26)</f>
        <v>0.812019367028814</v>
      </c>
      <c r="N26" s="8" t="n">
        <f aca="false">IF(H26=0,0,K26/H26)</f>
        <v>9.4974861878453</v>
      </c>
      <c r="O26" s="7" t="n">
        <f aca="false">IF(G26=0,0,I26/G26)</f>
        <v>0.00991969768540387</v>
      </c>
      <c r="P26" s="8" t="n">
        <f aca="false">IF(I26=0,0,K26/I26)</f>
        <v>81.8592857142857</v>
      </c>
      <c r="Q26" s="9" t="n">
        <f aca="false">IF(K26=0,0,J26/K26)</f>
        <v>0.888091934766106</v>
      </c>
      <c r="R26" s="10" t="n">
        <f aca="false">IF(K26=0,0,(J26-K26)/K26)</f>
        <v>-0.111908065233894</v>
      </c>
    </row>
    <row r="27" customFormat="false" ht="15" hidden="false" customHeight="false" outlineLevel="0" collapsed="false">
      <c r="A27" s="4" t="s">
        <v>73</v>
      </c>
      <c r="B27" s="4" t="s">
        <v>74</v>
      </c>
      <c r="C27" s="4" t="s">
        <v>64</v>
      </c>
      <c r="D27" s="4" t="s">
        <v>33</v>
      </c>
      <c r="E27" s="4" t="s">
        <v>27</v>
      </c>
      <c r="F27" s="5" t="n">
        <v>478521</v>
      </c>
      <c r="G27" s="5" t="n">
        <v>8428</v>
      </c>
      <c r="H27" s="5" t="n">
        <v>710</v>
      </c>
      <c r="I27" s="5" t="n">
        <v>93</v>
      </c>
      <c r="J27" s="6" t="n">
        <v>6319.08</v>
      </c>
      <c r="K27" s="6" t="n">
        <v>7264.6</v>
      </c>
      <c r="L27" s="7" t="n">
        <f aca="false">IF(F27=0,0,G27/F27)</f>
        <v>0.0176126021637504</v>
      </c>
      <c r="M27" s="8" t="n">
        <f aca="false">IF(G27=0,0,K27/G27)</f>
        <v>0.861960132890365</v>
      </c>
      <c r="N27" s="8" t="n">
        <f aca="false">IF(H27=0,0,K27/H27)</f>
        <v>10.2318309859155</v>
      </c>
      <c r="O27" s="7" t="n">
        <f aca="false">IF(G27=0,0,I27/G27)</f>
        <v>0.0110346464167062</v>
      </c>
      <c r="P27" s="8" t="n">
        <f aca="false">IF(I27=0,0,K27/I27)</f>
        <v>78.1139784946237</v>
      </c>
      <c r="Q27" s="9" t="n">
        <f aca="false">IF(K27=0,0,J27/K27)</f>
        <v>0.869845552404812</v>
      </c>
      <c r="R27" s="10" t="n">
        <f aca="false">IF(K27=0,0,(J27-K27)/K27)</f>
        <v>-0.130154447595188</v>
      </c>
    </row>
    <row r="28" customFormat="false" ht="15" hidden="false" customHeight="false" outlineLevel="0" collapsed="false">
      <c r="A28" s="4" t="s">
        <v>75</v>
      </c>
      <c r="B28" s="4" t="s">
        <v>76</v>
      </c>
      <c r="C28" s="4" t="s">
        <v>64</v>
      </c>
      <c r="D28" s="4" t="s">
        <v>23</v>
      </c>
      <c r="E28" s="4" t="s">
        <v>24</v>
      </c>
      <c r="F28" s="5" t="n">
        <v>411536</v>
      </c>
      <c r="G28" s="5" t="n">
        <v>7419</v>
      </c>
      <c r="H28" s="5" t="n">
        <v>639</v>
      </c>
      <c r="I28" s="5" t="n">
        <v>80</v>
      </c>
      <c r="J28" s="6" t="n">
        <v>5386.71</v>
      </c>
      <c r="K28" s="6" t="n">
        <v>6193.4</v>
      </c>
      <c r="L28" s="7" t="n">
        <f aca="false">IF(F28=0,0,G28/F28)</f>
        <v>0.0180275844640566</v>
      </c>
      <c r="M28" s="8" t="n">
        <f aca="false">IF(G28=0,0,K28/G28)</f>
        <v>0.834802534034236</v>
      </c>
      <c r="N28" s="8" t="n">
        <f aca="false">IF(H28=0,0,K28/H28)</f>
        <v>9.69233176838811</v>
      </c>
      <c r="O28" s="7" t="n">
        <f aca="false">IF(G28=0,0,I28/G28)</f>
        <v>0.0107831244102979</v>
      </c>
      <c r="P28" s="8" t="n">
        <f aca="false">IF(I28=0,0,K28/I28)</f>
        <v>77.4175</v>
      </c>
      <c r="Q28" s="9" t="n">
        <f aca="false">IF(K28=0,0,J28/K28)</f>
        <v>0.869750056511771</v>
      </c>
      <c r="R28" s="10" t="n">
        <f aca="false">IF(K28=0,0,(J28-K28)/K28)</f>
        <v>-0.130249943488229</v>
      </c>
    </row>
    <row r="29" customFormat="false" ht="15" hidden="false" customHeight="false" outlineLevel="0" collapsed="false">
      <c r="A29" s="4" t="s">
        <v>77</v>
      </c>
      <c r="B29" s="4" t="s">
        <v>78</v>
      </c>
      <c r="C29" s="4" t="s">
        <v>64</v>
      </c>
      <c r="D29" s="4" t="s">
        <v>33</v>
      </c>
      <c r="E29" s="4" t="s">
        <v>24</v>
      </c>
      <c r="F29" s="5" t="n">
        <v>370332</v>
      </c>
      <c r="G29" s="5" t="n">
        <v>6806</v>
      </c>
      <c r="H29" s="5" t="n">
        <v>576</v>
      </c>
      <c r="I29" s="5" t="n">
        <v>73</v>
      </c>
      <c r="J29" s="6" t="n">
        <v>4852.49</v>
      </c>
      <c r="K29" s="6" t="n">
        <v>5718.69</v>
      </c>
      <c r="L29" s="7" t="n">
        <f aca="false">IF(F29=0,0,G29/F29)</f>
        <v>0.0183781039715715</v>
      </c>
      <c r="M29" s="8" t="n">
        <f aca="false">IF(G29=0,0,K29/G29)</f>
        <v>0.840242433147223</v>
      </c>
      <c r="N29" s="8" t="n">
        <f aca="false">IF(H29=0,0,K29/H29)</f>
        <v>9.92828125</v>
      </c>
      <c r="O29" s="7" t="n">
        <f aca="false">IF(G29=0,0,I29/G29)</f>
        <v>0.0107258301498678</v>
      </c>
      <c r="P29" s="8" t="n">
        <f aca="false">IF(I29=0,0,K29/I29)</f>
        <v>78.3382191780822</v>
      </c>
      <c r="Q29" s="9" t="n">
        <f aca="false">IF(K29=0,0,J29/K29)</f>
        <v>0.84853174415819</v>
      </c>
      <c r="R29" s="10" t="n">
        <f aca="false">IF(K29=0,0,(J29-K29)/K29)</f>
        <v>-0.15146825584181</v>
      </c>
    </row>
    <row r="30" customFormat="false" ht="15" hidden="false" customHeight="false" outlineLevel="0" collapsed="false">
      <c r="A30" s="4" t="s">
        <v>79</v>
      </c>
      <c r="B30" s="4" t="s">
        <v>80</v>
      </c>
      <c r="C30" s="4" t="s">
        <v>64</v>
      </c>
      <c r="D30" s="4" t="s">
        <v>33</v>
      </c>
      <c r="E30" s="4" t="s">
        <v>27</v>
      </c>
      <c r="F30" s="5" t="n">
        <v>517543</v>
      </c>
      <c r="G30" s="5" t="n">
        <v>9354</v>
      </c>
      <c r="H30" s="5" t="n">
        <v>785</v>
      </c>
      <c r="I30" s="5" t="n">
        <v>95</v>
      </c>
      <c r="J30" s="6" t="n">
        <v>6377.24</v>
      </c>
      <c r="K30" s="6" t="n">
        <v>7845</v>
      </c>
      <c r="L30" s="7" t="n">
        <f aca="false">IF(F30=0,0,G30/F30)</f>
        <v>0.0180738605294633</v>
      </c>
      <c r="M30" s="8" t="n">
        <f aca="false">IF(G30=0,0,K30/G30)</f>
        <v>0.838678640153945</v>
      </c>
      <c r="N30" s="8" t="n">
        <f aca="false">IF(H30=0,0,K30/H30)</f>
        <v>9.99363057324841</v>
      </c>
      <c r="O30" s="7" t="n">
        <f aca="false">IF(G30=0,0,I30/G30)</f>
        <v>0.0101560829591619</v>
      </c>
      <c r="P30" s="8" t="n">
        <f aca="false">IF(I30=0,0,K30/I30)</f>
        <v>82.5789473684211</v>
      </c>
      <c r="Q30" s="9" t="n">
        <f aca="false">IF(K30=0,0,J30/K30)</f>
        <v>0.812905035054175</v>
      </c>
      <c r="R30" s="10" t="n">
        <f aca="false">IF(K30=0,0,(J30-K30)/K30)</f>
        <v>-0.187094964945825</v>
      </c>
    </row>
    <row r="31" customFormat="false" ht="15" hidden="false" customHeight="false" outlineLevel="0" collapsed="false">
      <c r="A31" s="4" t="s">
        <v>81</v>
      </c>
      <c r="B31" s="4" t="s">
        <v>63</v>
      </c>
      <c r="C31" s="4" t="s">
        <v>64</v>
      </c>
      <c r="D31" s="4" t="s">
        <v>33</v>
      </c>
      <c r="E31" s="4" t="s">
        <v>27</v>
      </c>
      <c r="F31" s="5" t="n">
        <v>403903</v>
      </c>
      <c r="G31" s="5" t="n">
        <v>7374</v>
      </c>
      <c r="H31" s="5" t="n">
        <v>632</v>
      </c>
      <c r="I31" s="5" t="n">
        <v>71</v>
      </c>
      <c r="J31" s="6" t="n">
        <v>4737.54</v>
      </c>
      <c r="K31" s="6" t="n">
        <v>6188.14</v>
      </c>
      <c r="L31" s="7" t="n">
        <f aca="false">IF(F31=0,0,G31/F31)</f>
        <v>0.0182568587012228</v>
      </c>
      <c r="M31" s="8" t="n">
        <f aca="false">IF(G31=0,0,K31/G31)</f>
        <v>0.839183618117711</v>
      </c>
      <c r="N31" s="8" t="n">
        <f aca="false">IF(H31=0,0,K31/H31)</f>
        <v>9.79136075949367</v>
      </c>
      <c r="O31" s="7" t="n">
        <f aca="false">IF(G31=0,0,I31/G31)</f>
        <v>0.00962842419311093</v>
      </c>
      <c r="P31" s="8" t="n">
        <f aca="false">IF(I31=0,0,K31/I31)</f>
        <v>87.1569014084507</v>
      </c>
      <c r="Q31" s="9" t="n">
        <f aca="false">IF(K31=0,0,J31/K31)</f>
        <v>0.765583842640923</v>
      </c>
      <c r="R31" s="10" t="n">
        <f aca="false">IF(K31=0,0,(J31-K31)/K31)</f>
        <v>-0.234416157359077</v>
      </c>
    </row>
    <row r="32" customFormat="false" ht="15" hidden="false" customHeight="false" outlineLevel="0" collapsed="false">
      <c r="A32" s="4" t="s">
        <v>82</v>
      </c>
      <c r="B32" s="4" t="s">
        <v>83</v>
      </c>
      <c r="C32" s="4" t="s">
        <v>84</v>
      </c>
      <c r="D32" s="4" t="s">
        <v>23</v>
      </c>
      <c r="E32" s="4" t="s">
        <v>30</v>
      </c>
      <c r="F32" s="5" t="n">
        <v>482156</v>
      </c>
      <c r="G32" s="5" t="n">
        <v>7047</v>
      </c>
      <c r="H32" s="5" t="n">
        <v>546</v>
      </c>
      <c r="I32" s="5" t="n">
        <v>49</v>
      </c>
      <c r="J32" s="6" t="n">
        <v>3049.3</v>
      </c>
      <c r="K32" s="6" t="n">
        <v>6646.86</v>
      </c>
      <c r="L32" s="7" t="n">
        <f aca="false">IF(F32=0,0,G32/F32)</f>
        <v>0.014615601589527</v>
      </c>
      <c r="M32" s="8" t="n">
        <f aca="false">IF(G32=0,0,K32/G32)</f>
        <v>0.943218390804598</v>
      </c>
      <c r="N32" s="8" t="n">
        <f aca="false">IF(H32=0,0,K32/H32)</f>
        <v>12.1737362637363</v>
      </c>
      <c r="O32" s="7" t="n">
        <f aca="false">IF(G32=0,0,I32/G32)</f>
        <v>0.00695331346672343</v>
      </c>
      <c r="P32" s="8" t="n">
        <f aca="false">IF(I32=0,0,K32/I32)</f>
        <v>135.650204081633</v>
      </c>
      <c r="Q32" s="9" t="n">
        <f aca="false">IF(K32=0,0,J32/K32)</f>
        <v>0.458757969928658</v>
      </c>
      <c r="R32" s="10" t="n">
        <f aca="false">IF(K32=0,0,(J32-K32)/K32)</f>
        <v>-0.541242030071342</v>
      </c>
    </row>
    <row r="33" customFormat="false" ht="15" hidden="false" customHeight="false" outlineLevel="0" collapsed="false">
      <c r="A33" s="4" t="s">
        <v>85</v>
      </c>
      <c r="B33" s="4" t="s">
        <v>86</v>
      </c>
      <c r="C33" s="4" t="s">
        <v>84</v>
      </c>
      <c r="D33" s="4" t="s">
        <v>45</v>
      </c>
      <c r="E33" s="4" t="s">
        <v>27</v>
      </c>
      <c r="F33" s="5" t="n">
        <v>472798</v>
      </c>
      <c r="G33" s="5" t="n">
        <v>6692</v>
      </c>
      <c r="H33" s="5" t="n">
        <v>501</v>
      </c>
      <c r="I33" s="5" t="n">
        <v>42</v>
      </c>
      <c r="J33" s="6" t="n">
        <v>2599.42</v>
      </c>
      <c r="K33" s="6" t="n">
        <v>6449.31</v>
      </c>
      <c r="L33" s="7" t="n">
        <f aca="false">IF(F33=0,0,G33/F33)</f>
        <v>0.0141540361845862</v>
      </c>
      <c r="M33" s="8" t="n">
        <f aca="false">IF(G33=0,0,K33/G33)</f>
        <v>0.963734309623431</v>
      </c>
      <c r="N33" s="8" t="n">
        <f aca="false">IF(H33=0,0,K33/H33)</f>
        <v>12.872874251497</v>
      </c>
      <c r="O33" s="7" t="n">
        <f aca="false">IF(G33=0,0,I33/G33)</f>
        <v>0.00627615062761506</v>
      </c>
      <c r="P33" s="8" t="n">
        <f aca="false">IF(I33=0,0,K33/I33)</f>
        <v>153.555</v>
      </c>
      <c r="Q33" s="9" t="n">
        <f aca="false">IF(K33=0,0,J33/K33)</f>
        <v>0.403053970114632</v>
      </c>
      <c r="R33" s="10" t="n">
        <f aca="false">IF(K33=0,0,(J33-K33)/K33)</f>
        <v>-0.596946029885368</v>
      </c>
    </row>
    <row r="34" customFormat="false" ht="15" hidden="false" customHeight="false" outlineLevel="0" collapsed="false">
      <c r="A34" s="4" t="s">
        <v>87</v>
      </c>
      <c r="B34" s="4" t="s">
        <v>88</v>
      </c>
      <c r="C34" s="4" t="s">
        <v>84</v>
      </c>
      <c r="D34" s="4" t="s">
        <v>45</v>
      </c>
      <c r="E34" s="4" t="s">
        <v>24</v>
      </c>
      <c r="F34" s="5" t="n">
        <v>349499</v>
      </c>
      <c r="G34" s="5" t="n">
        <v>4677</v>
      </c>
      <c r="H34" s="5" t="n">
        <v>357</v>
      </c>
      <c r="I34" s="5" t="n">
        <v>31</v>
      </c>
      <c r="J34" s="6" t="n">
        <v>1788.56</v>
      </c>
      <c r="K34" s="6" t="n">
        <v>4487.48</v>
      </c>
      <c r="L34" s="7" t="n">
        <f aca="false">IF(F34=0,0,G34/F34)</f>
        <v>0.0133820125379472</v>
      </c>
      <c r="M34" s="8" t="n">
        <f aca="false">IF(G34=0,0,K34/G34)</f>
        <v>0.959478298054308</v>
      </c>
      <c r="N34" s="8" t="n">
        <f aca="false">IF(H34=0,0,K34/H34)</f>
        <v>12.5699719887955</v>
      </c>
      <c r="O34" s="7" t="n">
        <f aca="false">IF(G34=0,0,I34/G34)</f>
        <v>0.00662818045755826</v>
      </c>
      <c r="P34" s="8" t="n">
        <f aca="false">IF(I34=0,0,K34/I34)</f>
        <v>144.757419354839</v>
      </c>
      <c r="Q34" s="9" t="n">
        <f aca="false">IF(K34=0,0,J34/K34)</f>
        <v>0.398566678848708</v>
      </c>
      <c r="R34" s="10" t="n">
        <f aca="false">IF(K34=0,0,(J34-K34)/K34)</f>
        <v>-0.601433321151292</v>
      </c>
    </row>
    <row r="35" customFormat="false" ht="15" hidden="false" customHeight="false" outlineLevel="0" collapsed="false">
      <c r="A35" s="4" t="s">
        <v>89</v>
      </c>
      <c r="B35" s="4" t="s">
        <v>90</v>
      </c>
      <c r="C35" s="4" t="s">
        <v>84</v>
      </c>
      <c r="D35" s="4" t="s">
        <v>45</v>
      </c>
      <c r="E35" s="4" t="s">
        <v>24</v>
      </c>
      <c r="F35" s="5" t="n">
        <v>367716</v>
      </c>
      <c r="G35" s="5" t="n">
        <v>5236</v>
      </c>
      <c r="H35" s="5" t="n">
        <v>394</v>
      </c>
      <c r="I35" s="5" t="n">
        <v>33</v>
      </c>
      <c r="J35" s="6" t="n">
        <v>1973.17</v>
      </c>
      <c r="K35" s="6" t="n">
        <v>5038.31</v>
      </c>
      <c r="L35" s="7" t="n">
        <f aca="false">IF(F35=0,0,G35/F35)</f>
        <v>0.014239249855867</v>
      </c>
      <c r="M35" s="8" t="n">
        <f aca="false">IF(G35=0,0,K35/G35)</f>
        <v>0.962244079449962</v>
      </c>
      <c r="N35" s="8" t="n">
        <f aca="false">IF(H35=0,0,K35/H35)</f>
        <v>12.7875888324873</v>
      </c>
      <c r="O35" s="7" t="n">
        <f aca="false">IF(G35=0,0,I35/G35)</f>
        <v>0.00630252100840336</v>
      </c>
      <c r="P35" s="8" t="n">
        <f aca="false">IF(I35=0,0,K35/I35)</f>
        <v>152.676060606061</v>
      </c>
      <c r="Q35" s="9" t="n">
        <f aca="false">IF(K35=0,0,J35/K35)</f>
        <v>0.391633305612398</v>
      </c>
      <c r="R35" s="10" t="n">
        <f aca="false">IF(K35=0,0,(J35-K35)/K35)</f>
        <v>-0.608366694387602</v>
      </c>
    </row>
    <row r="36" customFormat="false" ht="15" hidden="false" customHeight="false" outlineLevel="0" collapsed="false">
      <c r="A36" s="4" t="s">
        <v>91</v>
      </c>
      <c r="B36" s="4" t="s">
        <v>92</v>
      </c>
      <c r="C36" s="4" t="s">
        <v>84</v>
      </c>
      <c r="D36" s="4" t="s">
        <v>23</v>
      </c>
      <c r="E36" s="4" t="s">
        <v>27</v>
      </c>
      <c r="F36" s="5" t="n">
        <v>548517</v>
      </c>
      <c r="G36" s="5" t="n">
        <v>7453</v>
      </c>
      <c r="H36" s="5" t="n">
        <v>553</v>
      </c>
      <c r="I36" s="5" t="n">
        <v>47</v>
      </c>
      <c r="J36" s="6" t="n">
        <v>2718.7</v>
      </c>
      <c r="K36" s="6" t="n">
        <v>6969.05</v>
      </c>
      <c r="L36" s="7" t="n">
        <f aca="false">IF(F36=0,0,G36/F36)</f>
        <v>0.0135875460560019</v>
      </c>
      <c r="M36" s="8" t="n">
        <f aca="false">IF(G36=0,0,K36/G36)</f>
        <v>0.935066416208238</v>
      </c>
      <c r="N36" s="8" t="n">
        <f aca="false">IF(H36=0,0,K36/H36)</f>
        <v>12.60226039783</v>
      </c>
      <c r="O36" s="7" t="n">
        <f aca="false">IF(G36=0,0,I36/G36)</f>
        <v>0.00630618542868644</v>
      </c>
      <c r="P36" s="8" t="n">
        <f aca="false">IF(I36=0,0,K36/I36)</f>
        <v>148.277659574468</v>
      </c>
      <c r="Q36" s="9" t="n">
        <f aca="false">IF(K36=0,0,J36/K36)</f>
        <v>0.390110560262877</v>
      </c>
      <c r="R36" s="10" t="n">
        <f aca="false">IF(K36=0,0,(J36-K36)/K36)</f>
        <v>-0.609889439737124</v>
      </c>
    </row>
    <row r="37" customFormat="false" ht="15" hidden="false" customHeight="false" outlineLevel="0" collapsed="false">
      <c r="A37" s="4" t="s">
        <v>93</v>
      </c>
      <c r="B37" s="4" t="s">
        <v>90</v>
      </c>
      <c r="C37" s="4" t="s">
        <v>84</v>
      </c>
      <c r="D37" s="4" t="s">
        <v>33</v>
      </c>
      <c r="E37" s="4" t="s">
        <v>27</v>
      </c>
      <c r="F37" s="5" t="n">
        <v>365003</v>
      </c>
      <c r="G37" s="5" t="n">
        <v>5249</v>
      </c>
      <c r="H37" s="5" t="n">
        <v>416</v>
      </c>
      <c r="I37" s="5" t="n">
        <v>33</v>
      </c>
      <c r="J37" s="6" t="n">
        <v>1938.53</v>
      </c>
      <c r="K37" s="6" t="n">
        <v>5053.07</v>
      </c>
      <c r="L37" s="7" t="n">
        <f aca="false">IF(F37=0,0,G37/F37)</f>
        <v>0.0143807037202434</v>
      </c>
      <c r="M37" s="8" t="n">
        <f aca="false">IF(G37=0,0,K37/G37)</f>
        <v>0.9626728900743</v>
      </c>
      <c r="N37" s="8" t="n">
        <f aca="false">IF(H37=0,0,K37/H37)</f>
        <v>12.1468028846154</v>
      </c>
      <c r="O37" s="7" t="n">
        <f aca="false">IF(G37=0,0,I37/G37)</f>
        <v>0.00628691179272242</v>
      </c>
      <c r="P37" s="8" t="n">
        <f aca="false">IF(I37=0,0,K37/I37)</f>
        <v>153.123333333333</v>
      </c>
      <c r="Q37" s="9" t="n">
        <f aca="false">IF(K37=0,0,J37/K37)</f>
        <v>0.383634107582123</v>
      </c>
      <c r="R37" s="10" t="n">
        <f aca="false">IF(K37=0,0,(J37-K37)/K37)</f>
        <v>-0.616365892417877</v>
      </c>
    </row>
    <row r="38" customFormat="false" ht="15" hidden="false" customHeight="false" outlineLevel="0" collapsed="false">
      <c r="A38" s="4" t="s">
        <v>94</v>
      </c>
      <c r="B38" s="4" t="s">
        <v>95</v>
      </c>
      <c r="C38" s="4" t="s">
        <v>84</v>
      </c>
      <c r="D38" s="4" t="s">
        <v>68</v>
      </c>
      <c r="E38" s="4" t="s">
        <v>30</v>
      </c>
      <c r="F38" s="5" t="n">
        <v>477246</v>
      </c>
      <c r="G38" s="5" t="n">
        <v>6459</v>
      </c>
      <c r="H38" s="5" t="n">
        <v>475</v>
      </c>
      <c r="I38" s="5" t="n">
        <v>36</v>
      </c>
      <c r="J38" s="6" t="n">
        <v>2181.22</v>
      </c>
      <c r="K38" s="6" t="n">
        <v>6116.61</v>
      </c>
      <c r="L38" s="7" t="n">
        <f aca="false">IF(F38=0,0,G38/F38)</f>
        <v>0.0135339007555852</v>
      </c>
      <c r="M38" s="8" t="n">
        <f aca="false">IF(G38=0,0,K38/G38)</f>
        <v>0.946990246168137</v>
      </c>
      <c r="N38" s="8" t="n">
        <f aca="false">IF(H38=0,0,K38/H38)</f>
        <v>12.8770736842105</v>
      </c>
      <c r="O38" s="7" t="n">
        <f aca="false">IF(G38=0,0,I38/G38)</f>
        <v>0.00557361820715281</v>
      </c>
      <c r="P38" s="8" t="n">
        <f aca="false">IF(I38=0,0,K38/I38)</f>
        <v>169.905833333333</v>
      </c>
      <c r="Q38" s="9" t="n">
        <f aca="false">IF(K38=0,0,J38/K38)</f>
        <v>0.356606028502716</v>
      </c>
      <c r="R38" s="10" t="n">
        <f aca="false">IF(K38=0,0,(J38-K38)/K38)</f>
        <v>-0.643393971497284</v>
      </c>
    </row>
    <row r="39" customFormat="false" ht="15" hidden="false" customHeight="false" outlineLevel="0" collapsed="false">
      <c r="A39" s="4" t="s">
        <v>96</v>
      </c>
      <c r="B39" s="4" t="s">
        <v>97</v>
      </c>
      <c r="C39" s="4" t="s">
        <v>84</v>
      </c>
      <c r="D39" s="4" t="s">
        <v>23</v>
      </c>
      <c r="E39" s="4" t="s">
        <v>30</v>
      </c>
      <c r="F39" s="5" t="n">
        <v>343921</v>
      </c>
      <c r="G39" s="5" t="n">
        <v>4890</v>
      </c>
      <c r="H39" s="5" t="n">
        <v>359</v>
      </c>
      <c r="I39" s="5" t="n">
        <v>25</v>
      </c>
      <c r="J39" s="6" t="n">
        <v>1431.45</v>
      </c>
      <c r="K39" s="6" t="n">
        <v>4527.57</v>
      </c>
      <c r="L39" s="7" t="n">
        <f aca="false">IF(F39=0,0,G39/F39)</f>
        <v>0.014218381546925</v>
      </c>
      <c r="M39" s="8" t="n">
        <f aca="false">IF(G39=0,0,K39/G39)</f>
        <v>0.925883435582822</v>
      </c>
      <c r="N39" s="8" t="n">
        <f aca="false">IF(H39=0,0,K39/H39)</f>
        <v>12.6116155988858</v>
      </c>
      <c r="O39" s="7" t="n">
        <f aca="false">IF(G39=0,0,I39/G39)</f>
        <v>0.00511247443762781</v>
      </c>
      <c r="P39" s="8" t="n">
        <f aca="false">IF(I39=0,0,K39/I39)</f>
        <v>181.1028</v>
      </c>
      <c r="Q39" s="9" t="n">
        <f aca="false">IF(K39=0,0,J39/K39)</f>
        <v>0.316162974840809</v>
      </c>
      <c r="R39" s="10" t="n">
        <f aca="false">IF(K39=0,0,(J39-K39)/K39)</f>
        <v>-0.683837025159191</v>
      </c>
    </row>
    <row r="40" customFormat="false" ht="15" hidden="false" customHeight="false" outlineLevel="0" collapsed="false">
      <c r="A40" s="4" t="s">
        <v>98</v>
      </c>
      <c r="B40" s="4" t="s">
        <v>88</v>
      </c>
      <c r="C40" s="4" t="s">
        <v>84</v>
      </c>
      <c r="D40" s="4" t="s">
        <v>33</v>
      </c>
      <c r="E40" s="4" t="s">
        <v>27</v>
      </c>
      <c r="F40" s="5" t="n">
        <v>386027</v>
      </c>
      <c r="G40" s="5" t="n">
        <v>5293</v>
      </c>
      <c r="H40" s="5" t="n">
        <v>391</v>
      </c>
      <c r="I40" s="5" t="n">
        <v>26</v>
      </c>
      <c r="J40" s="6" t="n">
        <v>1483.31</v>
      </c>
      <c r="K40" s="6" t="n">
        <v>5038.71</v>
      </c>
      <c r="L40" s="7" t="n">
        <f aca="false">IF(F40=0,0,G40/F40)</f>
        <v>0.01371147614027</v>
      </c>
      <c r="M40" s="8" t="n">
        <f aca="false">IF(G40=0,0,K40/G40)</f>
        <v>0.951957302097109</v>
      </c>
      <c r="N40" s="8" t="n">
        <f aca="false">IF(H40=0,0,K40/H40)</f>
        <v>12.886726342711</v>
      </c>
      <c r="O40" s="7" t="n">
        <f aca="false">IF(G40=0,0,I40/G40)</f>
        <v>0.0049121481201587</v>
      </c>
      <c r="P40" s="8" t="n">
        <f aca="false">IF(I40=0,0,K40/I40)</f>
        <v>193.796538461538</v>
      </c>
      <c r="Q40" s="9" t="n">
        <f aca="false">IF(K40=0,0,J40/K40)</f>
        <v>0.294382887683554</v>
      </c>
      <c r="R40" s="10" t="n">
        <f aca="false">IF(K40=0,0,(J40-K40)/K40)</f>
        <v>-0.705617112316446</v>
      </c>
    </row>
    <row r="41" customFormat="false" ht="15" hidden="false" customHeight="false" outlineLevel="0" collapsed="false">
      <c r="A41" s="4" t="s">
        <v>99</v>
      </c>
      <c r="B41" s="4" t="s">
        <v>100</v>
      </c>
      <c r="C41" s="4" t="s">
        <v>84</v>
      </c>
      <c r="D41" s="4" t="s">
        <v>33</v>
      </c>
      <c r="E41" s="4" t="s">
        <v>24</v>
      </c>
      <c r="F41" s="5" t="n">
        <v>362598</v>
      </c>
      <c r="G41" s="5" t="n">
        <v>4913</v>
      </c>
      <c r="H41" s="5" t="n">
        <v>344</v>
      </c>
      <c r="I41" s="5" t="n">
        <v>22</v>
      </c>
      <c r="J41" s="6" t="n">
        <v>1360.75</v>
      </c>
      <c r="K41" s="6" t="n">
        <v>4695.53</v>
      </c>
      <c r="L41" s="7" t="n">
        <f aca="false">IF(F41=0,0,G41/F41)</f>
        <v>0.0135494404271397</v>
      </c>
      <c r="M41" s="8" t="n">
        <f aca="false">IF(G41=0,0,K41/G41)</f>
        <v>0.955735802971708</v>
      </c>
      <c r="N41" s="8" t="n">
        <f aca="false">IF(H41=0,0,K41/H41)</f>
        <v>13.6497965116279</v>
      </c>
      <c r="O41" s="7" t="n">
        <f aca="false">IF(G41=0,0,I41/G41)</f>
        <v>0.00447791573376756</v>
      </c>
      <c r="P41" s="8" t="n">
        <f aca="false">IF(I41=0,0,K41/I41)</f>
        <v>213.433181818182</v>
      </c>
      <c r="Q41" s="9" t="n">
        <f aca="false">IF(K41=0,0,J41/K41)</f>
        <v>0.289796891937651</v>
      </c>
      <c r="R41" s="10" t="n">
        <f aca="false">IF(K41=0,0,(J41-K41)/K41)</f>
        <v>-0.710203108062349</v>
      </c>
    </row>
    <row r="42" customFormat="false" ht="15" hidden="false" customHeight="false" outlineLevel="0" collapsed="false">
      <c r="A42" s="4" t="s">
        <v>101</v>
      </c>
      <c r="B42" s="4" t="s">
        <v>102</v>
      </c>
      <c r="C42" s="4" t="s">
        <v>103</v>
      </c>
      <c r="D42" s="4" t="s">
        <v>23</v>
      </c>
      <c r="E42" s="4" t="s">
        <v>30</v>
      </c>
      <c r="F42" s="5" t="n">
        <v>187170</v>
      </c>
      <c r="G42" s="5" t="n">
        <v>4195</v>
      </c>
      <c r="H42" s="5" t="n">
        <v>238</v>
      </c>
      <c r="I42" s="5" t="n">
        <v>11</v>
      </c>
      <c r="J42" s="6" t="n">
        <v>468.54</v>
      </c>
      <c r="K42" s="6" t="n">
        <v>2992.12</v>
      </c>
      <c r="L42" s="7" t="n">
        <f aca="false">IF(F42=0,0,G42/F42)</f>
        <v>0.0224127798258268</v>
      </c>
      <c r="M42" s="8" t="n">
        <f aca="false">IF(G42=0,0,K42/G42)</f>
        <v>0.713258641239571</v>
      </c>
      <c r="N42" s="8" t="n">
        <f aca="false">IF(H42=0,0,K42/H42)</f>
        <v>12.5719327731092</v>
      </c>
      <c r="O42" s="7" t="n">
        <f aca="false">IF(G42=0,0,I42/G42)</f>
        <v>0.00262216924910608</v>
      </c>
      <c r="P42" s="8" t="n">
        <f aca="false">IF(I42=0,0,K42/I42)</f>
        <v>272.010909090909</v>
      </c>
      <c r="Q42" s="9" t="n">
        <f aca="false">IF(K42=0,0,J42/K42)</f>
        <v>0.156591313182626</v>
      </c>
      <c r="R42" s="10" t="n">
        <f aca="false">IF(K42=0,0,(J42-K42)/K42)</f>
        <v>-0.843408686817374</v>
      </c>
    </row>
    <row r="43" customFormat="false" ht="15" hidden="false" customHeight="false" outlineLevel="0" collapsed="false">
      <c r="A43" s="4" t="s">
        <v>104</v>
      </c>
      <c r="B43" s="4" t="s">
        <v>105</v>
      </c>
      <c r="C43" s="4" t="s">
        <v>103</v>
      </c>
      <c r="D43" s="4" t="s">
        <v>33</v>
      </c>
      <c r="E43" s="4" t="s">
        <v>40</v>
      </c>
      <c r="F43" s="5" t="n">
        <v>363253</v>
      </c>
      <c r="G43" s="5" t="n">
        <v>7816</v>
      </c>
      <c r="H43" s="5" t="n">
        <v>422</v>
      </c>
      <c r="I43" s="5" t="n">
        <v>18</v>
      </c>
      <c r="J43" s="6" t="n">
        <v>851.93</v>
      </c>
      <c r="K43" s="6" t="n">
        <v>5496.01</v>
      </c>
      <c r="L43" s="7" t="n">
        <f aca="false">IF(F43=0,0,G43/F43)</f>
        <v>0.0215166839640691</v>
      </c>
      <c r="M43" s="8" t="n">
        <f aca="false">IF(G43=0,0,K43/G43)</f>
        <v>0.703174257932446</v>
      </c>
      <c r="N43" s="8" t="n">
        <f aca="false">IF(H43=0,0,K43/H43)</f>
        <v>13.0237203791469</v>
      </c>
      <c r="O43" s="7" t="n">
        <f aca="false">IF(G43=0,0,I43/G43)</f>
        <v>0.00230296827021494</v>
      </c>
      <c r="P43" s="8" t="n">
        <f aca="false">IF(I43=0,0,K43/I43)</f>
        <v>305.333888888889</v>
      </c>
      <c r="Q43" s="9" t="n">
        <f aca="false">IF(K43=0,0,J43/K43)</f>
        <v>0.155008815486144</v>
      </c>
      <c r="R43" s="10" t="n">
        <f aca="false">IF(K43=0,0,(J43-K43)/K43)</f>
        <v>-0.844991184513856</v>
      </c>
    </row>
    <row r="44" customFormat="false" ht="15" hidden="false" customHeight="false" outlineLevel="0" collapsed="false">
      <c r="A44" s="4" t="s">
        <v>106</v>
      </c>
      <c r="B44" s="4" t="s">
        <v>107</v>
      </c>
      <c r="C44" s="4" t="s">
        <v>103</v>
      </c>
      <c r="D44" s="4" t="s">
        <v>23</v>
      </c>
      <c r="E44" s="4" t="s">
        <v>24</v>
      </c>
      <c r="F44" s="5" t="n">
        <v>152119</v>
      </c>
      <c r="G44" s="5" t="n">
        <v>2845</v>
      </c>
      <c r="H44" s="5" t="n">
        <v>155</v>
      </c>
      <c r="I44" s="5" t="n">
        <v>5</v>
      </c>
      <c r="J44" s="6" t="n">
        <v>226.13</v>
      </c>
      <c r="K44" s="6" t="n">
        <v>1997.33</v>
      </c>
      <c r="L44" s="7" t="n">
        <f aca="false">IF(F44=0,0,G44/F44)</f>
        <v>0.0187024632031502</v>
      </c>
      <c r="M44" s="8" t="n">
        <f aca="false">IF(G44=0,0,K44/G44)</f>
        <v>0.70204920913884</v>
      </c>
      <c r="N44" s="8" t="n">
        <f aca="false">IF(H44=0,0,K44/H44)</f>
        <v>12.886</v>
      </c>
      <c r="O44" s="7" t="n">
        <f aca="false">IF(G44=0,0,I44/G44)</f>
        <v>0.00175746924428822</v>
      </c>
      <c r="P44" s="8" t="n">
        <f aca="false">IF(I44=0,0,K44/I44)</f>
        <v>399.466</v>
      </c>
      <c r="Q44" s="9" t="n">
        <f aca="false">IF(K44=0,0,J44/K44)</f>
        <v>0.113216143551641</v>
      </c>
      <c r="R44" s="10" t="n">
        <f aca="false">IF(K44=0,0,(J44-K44)/K44)</f>
        <v>-0.886783856448359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2" min="11" style="0" width="9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23.85" hidden="false" customHeight="false" outlineLevel="0" collapsed="false">
      <c r="A4" s="3" t="s">
        <v>4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17</v>
      </c>
      <c r="K4" s="3" t="s">
        <v>18</v>
      </c>
      <c r="L4" s="3" t="s">
        <v>19</v>
      </c>
      <c r="M4" s="3" t="s">
        <v>110</v>
      </c>
    </row>
    <row r="5" customFormat="false" ht="15" hidden="false" customHeight="false" outlineLevel="0" collapsed="false">
      <c r="A5" s="11" t="s">
        <v>53</v>
      </c>
      <c r="B5" s="12" t="n">
        <f aca="false">SUMIFS('Campaign Data'!F5:F44,'Campaign Data'!$C$5:$C$44,$A5)</f>
        <v>822227</v>
      </c>
      <c r="C5" s="12" t="n">
        <f aca="false">SUMIFS('Campaign Data'!G5:G44,'Campaign Data'!$C$5:$C$44,$A5)</f>
        <v>20914</v>
      </c>
      <c r="D5" s="12" t="n">
        <f aca="false">SUMIFS('Campaign Data'!H5:H44,'Campaign Data'!$C$5:$C$44,$A5)</f>
        <v>2299</v>
      </c>
      <c r="E5" s="12" t="n">
        <f aca="false">SUMIFS('Campaign Data'!I5:I44,'Campaign Data'!$C$5:$C$44,$A5)</f>
        <v>389</v>
      </c>
      <c r="F5" s="8" t="n">
        <f aca="false">SUMIFS('Campaign Data'!J5:J44,'Campaign Data'!$C$5:$C$44,$A5)</f>
        <v>27232.18</v>
      </c>
      <c r="G5" s="8" t="n">
        <f aca="false">SUMIFS('Campaign Data'!K5:K44,'Campaign Data'!$C$5:$C$44,$A5)</f>
        <v>19138.83</v>
      </c>
      <c r="H5" s="7" t="n">
        <f aca="false">IF(B5=0,0,C5/B5)</f>
        <v>0.0254357981433351</v>
      </c>
      <c r="I5" s="8" t="n">
        <f aca="false">IF(C5=0,0,G5/C5)</f>
        <v>0.915120493449364</v>
      </c>
      <c r="J5" s="8" t="n">
        <f aca="false">IF(E5=0,0,G5/E5)</f>
        <v>49.2000771208226</v>
      </c>
      <c r="K5" s="9" t="n">
        <f aca="false">IF(G5=0,0,F5/G5)</f>
        <v>1.42287590202745</v>
      </c>
      <c r="L5" s="10" t="n">
        <f aca="false">IF(G5=0,0,(F5-G5)/G5)</f>
        <v>0.422875902027449</v>
      </c>
      <c r="M5" s="13" t="n">
        <f aca="false">RANK(K5,$K$5:$K$10)</f>
        <v>3</v>
      </c>
    </row>
    <row r="6" customFormat="false" ht="15" hidden="false" customHeight="false" outlineLevel="0" collapsed="false">
      <c r="A6" s="11" t="s">
        <v>22</v>
      </c>
      <c r="B6" s="12" t="n">
        <f aca="false">SUMIFS('Campaign Data'!F5:F44,'Campaign Data'!$C$5:$C$44,$A6)</f>
        <v>3320897</v>
      </c>
      <c r="C6" s="12" t="n">
        <f aca="false">SUMIFS('Campaign Data'!G5:G44,'Campaign Data'!$C$5:$C$44,$A6)</f>
        <v>149535</v>
      </c>
      <c r="D6" s="12" t="n">
        <f aca="false">SUMIFS('Campaign Data'!H5:H44,'Campaign Data'!$C$5:$C$44,$A6)</f>
        <v>29120</v>
      </c>
      <c r="E6" s="12" t="n">
        <f aca="false">SUMIFS('Campaign Data'!I5:I44,'Campaign Data'!$C$5:$C$44,$A6)</f>
        <v>7890</v>
      </c>
      <c r="F6" s="8" t="n">
        <f aca="false">SUMIFS('Campaign Data'!J5:J44,'Campaign Data'!$C$5:$C$44,$A6)</f>
        <v>490205.55</v>
      </c>
      <c r="G6" s="8" t="n">
        <f aca="false">SUMIFS('Campaign Data'!K5:K44,'Campaign Data'!$C$5:$C$44,$A6)</f>
        <v>22263.38</v>
      </c>
      <c r="H6" s="7" t="n">
        <f aca="false">IF(B6=0,0,C6/B6)</f>
        <v>0.0450284968187812</v>
      </c>
      <c r="I6" s="8" t="n">
        <f aca="false">IF(C6=0,0,G6/C6)</f>
        <v>0.148884073962617</v>
      </c>
      <c r="J6" s="8" t="n">
        <f aca="false">IF(E6=0,0,G6/E6)</f>
        <v>2.82172116603295</v>
      </c>
      <c r="K6" s="9" t="n">
        <f aca="false">IF(G6=0,0,F6/G6)</f>
        <v>22.01846934293</v>
      </c>
      <c r="L6" s="10" t="n">
        <f aca="false">IF(G6=0,0,(F6-G6)/G6)</f>
        <v>21.01846934293</v>
      </c>
      <c r="M6" s="13" t="n">
        <f aca="false">RANK(K6,$K$5:$K$10)</f>
        <v>1</v>
      </c>
    </row>
    <row r="7" customFormat="false" ht="15" hidden="false" customHeight="false" outlineLevel="0" collapsed="false">
      <c r="A7" s="11" t="s">
        <v>64</v>
      </c>
      <c r="B7" s="12" t="n">
        <f aca="false">SUMIFS('Campaign Data'!F5:F44,'Campaign Data'!$C$5:$C$44,$A7)</f>
        <v>4169820</v>
      </c>
      <c r="C7" s="12" t="n">
        <f aca="false">SUMIFS('Campaign Data'!G5:G44,'Campaign Data'!$C$5:$C$44,$A7)</f>
        <v>74724</v>
      </c>
      <c r="D7" s="12" t="n">
        <f aca="false">SUMIFS('Campaign Data'!H5:H44,'Campaign Data'!$C$5:$C$44,$A7)</f>
        <v>6421</v>
      </c>
      <c r="E7" s="12" t="n">
        <f aca="false">SUMIFS('Campaign Data'!I5:I44,'Campaign Data'!$C$5:$C$44,$A7)</f>
        <v>799</v>
      </c>
      <c r="F7" s="8" t="n">
        <f aca="false">SUMIFS('Campaign Data'!J5:J44,'Campaign Data'!$C$5:$C$44,$A7)</f>
        <v>54672.37</v>
      </c>
      <c r="G7" s="8" t="n">
        <f aca="false">SUMIFS('Campaign Data'!K5:K44,'Campaign Data'!$C$5:$C$44,$A7)</f>
        <v>62830.33</v>
      </c>
      <c r="H7" s="7" t="n">
        <f aca="false">IF(B7=0,0,C7/B7)</f>
        <v>0.017920197994158</v>
      </c>
      <c r="I7" s="8" t="n">
        <f aca="false">IF(C7=0,0,G7/C7)</f>
        <v>0.84083199507521</v>
      </c>
      <c r="J7" s="8" t="n">
        <f aca="false">IF(E7=0,0,G7/E7)</f>
        <v>78.6362077596996</v>
      </c>
      <c r="K7" s="9" t="n">
        <f aca="false">IF(G7=0,0,F7/G7)</f>
        <v>0.870158886639621</v>
      </c>
      <c r="L7" s="10" t="n">
        <f aca="false">IF(G7=0,0,(F7-G7)/G7)</f>
        <v>-0.129841113360379</v>
      </c>
      <c r="M7" s="13" t="n">
        <f aca="false">RANK(K7,$K$5:$K$10)</f>
        <v>4</v>
      </c>
    </row>
    <row r="8" customFormat="false" ht="15" hidden="false" customHeight="false" outlineLevel="0" collapsed="false">
      <c r="A8" s="11" t="s">
        <v>44</v>
      </c>
      <c r="B8" s="12" t="n">
        <f aca="false">SUMIFS('Campaign Data'!F5:F44,'Campaign Data'!$C$5:$C$44,$A8)</f>
        <v>2472009</v>
      </c>
      <c r="C8" s="12" t="n">
        <f aca="false">SUMIFS('Campaign Data'!G5:G44,'Campaign Data'!$C$5:$C$44,$A8)</f>
        <v>87105</v>
      </c>
      <c r="D8" s="12" t="n">
        <f aca="false">SUMIFS('Campaign Data'!H5:H44,'Campaign Data'!$C$5:$C$44,$A8)</f>
        <v>11931</v>
      </c>
      <c r="E8" s="12" t="n">
        <f aca="false">SUMIFS('Campaign Data'!I5:I44,'Campaign Data'!$C$5:$C$44,$A8)</f>
        <v>2477</v>
      </c>
      <c r="F8" s="8" t="n">
        <f aca="false">SUMIFS('Campaign Data'!J5:J44,'Campaign Data'!$C$5:$C$44,$A8)</f>
        <v>176641.94</v>
      </c>
      <c r="G8" s="8" t="n">
        <f aca="false">SUMIFS('Campaign Data'!K5:K44,'Campaign Data'!$C$5:$C$44,$A8)</f>
        <v>76538.86</v>
      </c>
      <c r="H8" s="7" t="n">
        <f aca="false">IF(B8=0,0,C8/B8)</f>
        <v>0.0352365221971279</v>
      </c>
      <c r="I8" s="8" t="n">
        <f aca="false">IF(C8=0,0,G8/C8)</f>
        <v>0.878696515699443</v>
      </c>
      <c r="J8" s="8" t="n">
        <f aca="false">IF(E8=0,0,G8/E8)</f>
        <v>30.899822365765</v>
      </c>
      <c r="K8" s="9" t="n">
        <f aca="false">IF(G8=0,0,F8/G8)</f>
        <v>2.30787262836159</v>
      </c>
      <c r="L8" s="10" t="n">
        <f aca="false">IF(G8=0,0,(F8-G8)/G8)</f>
        <v>1.30787262836159</v>
      </c>
      <c r="M8" s="13" t="n">
        <f aca="false">RANK(K8,$K$5:$K$10)</f>
        <v>2</v>
      </c>
    </row>
    <row r="9" customFormat="false" ht="15" hidden="false" customHeight="false" outlineLevel="0" collapsed="false">
      <c r="A9" s="11" t="s">
        <v>84</v>
      </c>
      <c r="B9" s="12" t="n">
        <f aca="false">SUMIFS('Campaign Data'!F5:F44,'Campaign Data'!$C$5:$C$44,$A9)</f>
        <v>4155481</v>
      </c>
      <c r="C9" s="12" t="n">
        <f aca="false">SUMIFS('Campaign Data'!G5:G44,'Campaign Data'!$C$5:$C$44,$A9)</f>
        <v>57909</v>
      </c>
      <c r="D9" s="12" t="n">
        <f aca="false">SUMIFS('Campaign Data'!H5:H44,'Campaign Data'!$C$5:$C$44,$A9)</f>
        <v>4336</v>
      </c>
      <c r="E9" s="12" t="n">
        <f aca="false">SUMIFS('Campaign Data'!I5:I44,'Campaign Data'!$C$5:$C$44,$A9)</f>
        <v>344</v>
      </c>
      <c r="F9" s="8" t="n">
        <f aca="false">SUMIFS('Campaign Data'!J5:J44,'Campaign Data'!$C$5:$C$44,$A9)</f>
        <v>20524.41</v>
      </c>
      <c r="G9" s="8" t="n">
        <f aca="false">SUMIFS('Campaign Data'!K5:K44,'Campaign Data'!$C$5:$C$44,$A9)</f>
        <v>55022.5</v>
      </c>
      <c r="H9" s="7" t="n">
        <f aca="false">IF(B9=0,0,C9/B9)</f>
        <v>0.0139355708761513</v>
      </c>
      <c r="I9" s="8" t="n">
        <f aca="false">IF(C9=0,0,G9/C9)</f>
        <v>0.950154552832893</v>
      </c>
      <c r="J9" s="8" t="n">
        <f aca="false">IF(E9=0,0,G9/E9)</f>
        <v>159.949127906977</v>
      </c>
      <c r="K9" s="9" t="n">
        <f aca="false">IF(G9=0,0,F9/G9)</f>
        <v>0.373018492434913</v>
      </c>
      <c r="L9" s="10" t="n">
        <f aca="false">IF(G9=0,0,(F9-G9)/G9)</f>
        <v>-0.626981507565087</v>
      </c>
      <c r="M9" s="13" t="n">
        <f aca="false">RANK(K9,$K$5:$K$10)</f>
        <v>5</v>
      </c>
    </row>
    <row r="10" customFormat="false" ht="15" hidden="false" customHeight="false" outlineLevel="0" collapsed="false">
      <c r="A10" s="11" t="s">
        <v>103</v>
      </c>
      <c r="B10" s="12" t="n">
        <f aca="false">SUMIFS('Campaign Data'!F5:F44,'Campaign Data'!$C$5:$C$44,$A10)</f>
        <v>702542</v>
      </c>
      <c r="C10" s="12" t="n">
        <f aca="false">SUMIFS('Campaign Data'!G5:G44,'Campaign Data'!$C$5:$C$44,$A10)</f>
        <v>14856</v>
      </c>
      <c r="D10" s="12" t="n">
        <f aca="false">SUMIFS('Campaign Data'!H5:H44,'Campaign Data'!$C$5:$C$44,$A10)</f>
        <v>815</v>
      </c>
      <c r="E10" s="12" t="n">
        <f aca="false">SUMIFS('Campaign Data'!I5:I44,'Campaign Data'!$C$5:$C$44,$A10)</f>
        <v>34</v>
      </c>
      <c r="F10" s="8" t="n">
        <f aca="false">SUMIFS('Campaign Data'!J5:J44,'Campaign Data'!$C$5:$C$44,$A10)</f>
        <v>1546.6</v>
      </c>
      <c r="G10" s="8" t="n">
        <f aca="false">SUMIFS('Campaign Data'!K5:K44,'Campaign Data'!$C$5:$C$44,$A10)</f>
        <v>10485.46</v>
      </c>
      <c r="H10" s="7" t="n">
        <f aca="false">IF(B10=0,0,C10/B10)</f>
        <v>0.0211460667120258</v>
      </c>
      <c r="I10" s="8" t="n">
        <f aca="false">IF(C10=0,0,G10/C10)</f>
        <v>0.705806408185245</v>
      </c>
      <c r="J10" s="8" t="n">
        <f aca="false">IF(E10=0,0,G10/E10)</f>
        <v>308.395882352941</v>
      </c>
      <c r="K10" s="9" t="n">
        <f aca="false">IF(G10=0,0,F10/G10)</f>
        <v>0.147499489769643</v>
      </c>
      <c r="L10" s="10" t="n">
        <f aca="false">IF(G10=0,0,(F10-G10)/G10)</f>
        <v>-0.852500510230357</v>
      </c>
      <c r="M10" s="13" t="n">
        <f aca="false">RANK(K10,$K$5:$K$10)</f>
        <v>6</v>
      </c>
    </row>
    <row r="12" customFormat="false" ht="15" hidden="false" customHeight="false" outlineLevel="0" collapsed="false">
      <c r="A12" s="14" t="s">
        <v>111</v>
      </c>
      <c r="B12" s="14" t="n">
        <f aca="false">SUM(B5:B10)</f>
        <v>15642976</v>
      </c>
      <c r="C12" s="14" t="n">
        <f aca="false">SUM(C5:C10)</f>
        <v>405043</v>
      </c>
      <c r="D12" s="14" t="n">
        <f aca="false">SUM(D5:D10)</f>
        <v>54922</v>
      </c>
      <c r="E12" s="14" t="n">
        <f aca="false">SUM(E5:E10)</f>
        <v>11933</v>
      </c>
      <c r="F12" s="15" t="n">
        <f aca="false">SUM(F5:F10)</f>
        <v>770823.05</v>
      </c>
      <c r="G12" s="15" t="n">
        <f aca="false">SUM(G5:G10)</f>
        <v>246279.36</v>
      </c>
      <c r="K12" s="16" t="n">
        <f aca="false">IF(G12=0,0,F12/G12)</f>
        <v>3.12987271852582</v>
      </c>
      <c r="L12" s="17" t="n">
        <f aca="false">IF(G12=0,0,(F12-G12)/G12)</f>
        <v>2.12987271852582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18" t="s">
        <v>114</v>
      </c>
      <c r="B4" s="18" t="s">
        <v>115</v>
      </c>
      <c r="C4" s="18" t="s">
        <v>116</v>
      </c>
      <c r="D4" s="18" t="s">
        <v>117</v>
      </c>
    </row>
    <row r="5" customFormat="false" ht="15" hidden="false" customHeight="false" outlineLevel="0" collapsed="false">
      <c r="A5" s="4" t="s">
        <v>118</v>
      </c>
      <c r="B5" s="5" t="n">
        <v>20035</v>
      </c>
      <c r="C5" s="5" t="n">
        <v>1578</v>
      </c>
      <c r="D5" s="7" t="n">
        <f aca="false">C5/B5</f>
        <v>0.078762166209134</v>
      </c>
    </row>
    <row r="6" customFormat="false" ht="15" hidden="false" customHeight="false" outlineLevel="0" collapsed="false">
      <c r="A6" s="4" t="s">
        <v>119</v>
      </c>
      <c r="B6" s="5" t="n">
        <v>20085</v>
      </c>
      <c r="C6" s="5" t="n">
        <v>1926</v>
      </c>
      <c r="D6" s="7" t="n">
        <f aca="false">C6/B6</f>
        <v>0.0958924570575056</v>
      </c>
    </row>
    <row r="9" customFormat="false" ht="15" hidden="false" customHeight="false" outlineLevel="0" collapsed="false">
      <c r="A9" s="4" t="s">
        <v>120</v>
      </c>
      <c r="B9" s="19" t="n">
        <f aca="false">(C5+C6)/(B5+B6)</f>
        <v>0.0873379860418744</v>
      </c>
    </row>
    <row r="10" customFormat="false" ht="15" hidden="false" customHeight="false" outlineLevel="0" collapsed="false">
      <c r="A10" s="4" t="s">
        <v>121</v>
      </c>
      <c r="B10" s="20" t="n">
        <f aca="false">SQRT(B9*(1-B9)*(1/B5+1/B6))</f>
        <v>0.00281907379696018</v>
      </c>
    </row>
    <row r="11" customFormat="false" ht="15" hidden="false" customHeight="false" outlineLevel="0" collapsed="false">
      <c r="A11" s="4" t="s">
        <v>122</v>
      </c>
      <c r="B11" s="7" t="n">
        <f aca="false">D6-D5</f>
        <v>0.0171302908483716</v>
      </c>
    </row>
    <row r="12" customFormat="false" ht="15" hidden="false" customHeight="false" outlineLevel="0" collapsed="false">
      <c r="A12" s="4" t="s">
        <v>123</v>
      </c>
      <c r="B12" s="10" t="n">
        <f aca="false">B11/D5</f>
        <v>0.217493901867633</v>
      </c>
    </row>
    <row r="13" customFormat="false" ht="15" hidden="false" customHeight="false" outlineLevel="0" collapsed="false">
      <c r="A13" s="4" t="s">
        <v>124</v>
      </c>
      <c r="B13" s="21" t="n">
        <f aca="false">B11/B10</f>
        <v>6.07656701532372</v>
      </c>
    </row>
    <row r="14" customFormat="false" ht="15" hidden="false" customHeight="false" outlineLevel="0" collapsed="false">
      <c r="A14" s="4" t="s">
        <v>125</v>
      </c>
      <c r="B14" s="20" t="n">
        <f aca="false">2*(1-NORMSDIST(ABS(B13)))</f>
        <v>1.22782695122226E-009</v>
      </c>
    </row>
    <row r="15" customFormat="false" ht="15" hidden="false" customHeight="false" outlineLevel="0" collapsed="false">
      <c r="A15" s="4" t="s">
        <v>126</v>
      </c>
      <c r="B15" s="12" t="str">
        <f aca="false">IF(B14&lt;0.05,"YES","NO")</f>
        <v>YES</v>
      </c>
    </row>
    <row r="16" customFormat="false" ht="15" hidden="false" customHeight="false" outlineLevel="0" collapsed="false">
      <c r="A16" s="4" t="s">
        <v>127</v>
      </c>
      <c r="B16" s="20" t="n">
        <f aca="false">SQRT(D5*(1-D5)/B5+D6*(1-D6)/B6)</f>
        <v>0.0028174644800841</v>
      </c>
    </row>
    <row r="17" customFormat="false" ht="15" hidden="false" customHeight="false" outlineLevel="0" collapsed="false">
      <c r="A17" s="4" t="s">
        <v>128</v>
      </c>
      <c r="B17" s="7" t="n">
        <f aca="false">B11-1.96*B16</f>
        <v>0.0116080604674068</v>
      </c>
    </row>
    <row r="18" customFormat="false" ht="15" hidden="false" customHeight="false" outlineLevel="0" collapsed="false">
      <c r="A18" s="4" t="s">
        <v>129</v>
      </c>
      <c r="B18" s="7" t="n">
        <f aca="false">B11+1.96*B16</f>
        <v>0.0226525212293364</v>
      </c>
    </row>
    <row r="20" customFormat="false" ht="15" hidden="false" customHeight="false" outlineLevel="0" collapsed="false">
      <c r="A20" s="22" t="s">
        <v>130</v>
      </c>
    </row>
    <row r="21" customFormat="false" ht="15" hidden="false" customHeight="false" outlineLevel="0" collapsed="false">
      <c r="A21" s="4" t="s">
        <v>131</v>
      </c>
      <c r="B21" s="6" t="n">
        <v>64.6</v>
      </c>
    </row>
    <row r="22" customFormat="false" ht="15" hidden="false" customHeight="false" outlineLevel="0" collapsed="false">
      <c r="A22" s="4" t="s">
        <v>132</v>
      </c>
      <c r="B22" s="23" t="n">
        <v>50000</v>
      </c>
    </row>
    <row r="23" customFormat="false" ht="15" hidden="false" customHeight="false" outlineLevel="0" collapsed="false">
      <c r="A23" s="4" t="s">
        <v>133</v>
      </c>
      <c r="B23" s="24" t="n">
        <f aca="false">B22*B11</f>
        <v>856.514542418579</v>
      </c>
    </row>
    <row r="24" customFormat="false" ht="15" hidden="false" customHeight="false" outlineLevel="0" collapsed="false">
      <c r="A24" s="4" t="s">
        <v>134</v>
      </c>
      <c r="B24" s="25" t="n">
        <f aca="false">B23*B21</f>
        <v>55330.8394402402</v>
      </c>
    </row>
    <row r="25" customFormat="false" ht="15" hidden="false" customHeight="false" outlineLevel="0" collapsed="false">
      <c r="A25" s="4" t="s">
        <v>135</v>
      </c>
      <c r="B25" s="25" t="n">
        <f aca="false">B24*12</f>
        <v>663970.073282883</v>
      </c>
    </row>
    <row r="27" customFormat="false" ht="15" hidden="false" customHeight="false" outlineLevel="0" collapsed="false">
      <c r="A27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2026-08-29T03:35:31Z</dcterms:created>
  <dc:creator>openpyxl</dc:creator>
  <dc:description/>
  <dc:language>en-US</dc:language>
  <cp:lastModifiedBy/>
  <dcterms:modified xsi:type="dcterms:W3CDTF">2026-08-29T03:35:31Z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